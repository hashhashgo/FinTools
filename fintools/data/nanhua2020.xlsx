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bookViews>
    <workbookView xWindow="840" yWindow="375" windowWidth="20235" windowHeight="9360" activeTab="1"/>
  </bookViews>
  <sheets>
    <sheet name="2020年权重图表" sheetId="1" r:id="rId1"/>
    <sheet name="Sheet1" sheetId="5" r:id="rId2"/>
    <sheet name="Sheet2" sheetId="2" r:id="rId3"/>
    <sheet name="Sheet3" sheetId="3" r:id="rId4"/>
    <sheet name="Sheet4" sheetId="4" r:id="rId5"/>
  </sheets>
  <calcPr calcId="152511"/>
</workbook>
</file>

<file path=xl/calcChain.xml><?xml version="1.0" encoding="utf-8"?>
<calcChain xmlns="http://schemas.openxmlformats.org/spreadsheetml/2006/main">
  <c r="I41" i="5" l="1"/>
  <c r="H41" i="5"/>
  <c r="G41" i="5"/>
  <c r="F41" i="5"/>
  <c r="E41" i="5"/>
  <c r="D41" i="5"/>
  <c r="C41" i="5"/>
  <c r="B41" i="5"/>
  <c r="D22" i="3" l="1"/>
  <c r="F22" i="3"/>
  <c r="H22" i="3"/>
  <c r="J22" i="3"/>
  <c r="L22" i="3"/>
  <c r="N22" i="3"/>
  <c r="P22" i="3"/>
  <c r="B22" i="3"/>
  <c r="C41" i="1" l="1"/>
  <c r="D41" i="1"/>
  <c r="E41" i="1"/>
  <c r="F41" i="1"/>
  <c r="G41" i="1"/>
  <c r="H41" i="1"/>
  <c r="I41" i="1"/>
  <c r="B41" i="1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4" i="2"/>
  <c r="G5" i="2"/>
  <c r="G6" i="2"/>
  <c r="G7" i="2"/>
  <c r="G8" i="2"/>
  <c r="G9" i="2"/>
  <c r="G10" i="2"/>
  <c r="G11" i="2"/>
  <c r="G12" i="2"/>
  <c r="G13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" i="2"/>
</calcChain>
</file>

<file path=xl/sharedStrings.xml><?xml version="1.0" encoding="utf-8"?>
<sst xmlns="http://schemas.openxmlformats.org/spreadsheetml/2006/main" count="274" uniqueCount="61">
  <si>
    <t>品种名称</t>
  </si>
  <si>
    <t>南华商品指数</t>
  </si>
  <si>
    <t>南华工业品指数</t>
  </si>
  <si>
    <t>南华金属指数</t>
  </si>
  <si>
    <t>南华能化指数</t>
  </si>
  <si>
    <t>南华农产品指数</t>
  </si>
  <si>
    <t>南华贵金属指数</t>
  </si>
  <si>
    <t>南华黑色指数</t>
  </si>
  <si>
    <t>南华有色金属指数</t>
  </si>
  <si>
    <t>螺纹钢</t>
  </si>
  <si>
    <t>铜</t>
  </si>
  <si>
    <t>原油</t>
  </si>
  <si>
    <t>铁矿石</t>
  </si>
  <si>
    <t>焦炭</t>
  </si>
  <si>
    <t>天然橡胶</t>
  </si>
  <si>
    <t>豆粕</t>
  </si>
  <si>
    <t>黄金</t>
  </si>
  <si>
    <t>白银</t>
  </si>
  <si>
    <t>焦煤</t>
  </si>
  <si>
    <t>镍</t>
  </si>
  <si>
    <t>白糖</t>
  </si>
  <si>
    <t>聚乙烯</t>
  </si>
  <si>
    <t>豆油</t>
  </si>
  <si>
    <t>锌</t>
  </si>
  <si>
    <t>PTA</t>
  </si>
  <si>
    <t>棕榈油</t>
  </si>
  <si>
    <t>聚丙烯</t>
  </si>
  <si>
    <t>甲醇</t>
  </si>
  <si>
    <t>一号棉</t>
  </si>
  <si>
    <t>玻璃</t>
  </si>
  <si>
    <t>铝</t>
  </si>
  <si>
    <t>石油沥青</t>
  </si>
  <si>
    <t>动力煤</t>
  </si>
  <si>
    <t>黄大豆一号</t>
  </si>
  <si>
    <t>玉米</t>
  </si>
  <si>
    <t>菜籽油</t>
  </si>
  <si>
    <t>鸡蛋</t>
  </si>
  <si>
    <t>玉米淀粉</t>
  </si>
  <si>
    <t>苹果</t>
  </si>
  <si>
    <t>菜籽粕</t>
  </si>
  <si>
    <r>
      <rPr>
        <sz val="12"/>
        <color rgb="FF000000"/>
        <rFont val="宋体"/>
        <family val="3"/>
        <charset val="134"/>
      </rPr>
      <t>根据南华商品指数编制细则的规定，南华期货有限公司将于</t>
    </r>
    <r>
      <rPr>
        <sz val="12"/>
        <color rgb="FF000000"/>
        <rFont val="Arial"/>
        <family val="2"/>
      </rPr>
      <t>2019</t>
    </r>
    <r>
      <rPr>
        <sz val="12"/>
        <color rgb="FF000000"/>
        <rFont val="宋体"/>
        <family val="3"/>
        <charset val="134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Arial"/>
        <family val="2"/>
      </rPr>
      <t>1</t>
    </r>
    <r>
      <rPr>
        <sz val="12"/>
        <color rgb="FF000000"/>
        <rFont val="宋体"/>
        <family val="3"/>
        <charset val="134"/>
      </rPr>
      <t>日调整南华商品指数权重，具体调整如下：</t>
    </r>
    <phoneticPr fontId="2" type="noConversion"/>
  </si>
  <si>
    <t>热轧卷板</t>
  </si>
  <si>
    <t>燃料油</t>
  </si>
  <si>
    <t>铅</t>
  </si>
  <si>
    <t>黄大豆一号</t>
    <phoneticPr fontId="2" type="noConversion"/>
  </si>
  <si>
    <t>工业品</t>
  </si>
  <si>
    <t>农产品</t>
  </si>
  <si>
    <t>金属</t>
  </si>
  <si>
    <t>能化</t>
  </si>
  <si>
    <t>贵金属</t>
  </si>
  <si>
    <t>黑色</t>
    <phoneticPr fontId="2" type="noConversion"/>
  </si>
  <si>
    <t>有色</t>
    <phoneticPr fontId="2" type="noConversion"/>
  </si>
  <si>
    <t>动力煤</t>
    <phoneticPr fontId="2" type="noConversion"/>
  </si>
  <si>
    <r>
      <rPr>
        <sz val="12"/>
        <color rgb="FF000000"/>
        <rFont val="宋体"/>
        <family val="3"/>
        <charset val="134"/>
      </rPr>
      <t>根据南华商品指数编制细则的规定，南华期货有限公司将于</t>
    </r>
    <r>
      <rPr>
        <sz val="12"/>
        <color rgb="FF000000"/>
        <rFont val="Arial"/>
        <family val="2"/>
      </rPr>
      <t>2020</t>
    </r>
    <r>
      <rPr>
        <sz val="12"/>
        <color rgb="FF000000"/>
        <rFont val="宋体"/>
        <family val="3"/>
        <charset val="134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宋体"/>
        <family val="3"/>
        <charset val="134"/>
      </rPr>
      <t>月</t>
    </r>
    <r>
      <rPr>
        <sz val="12"/>
        <color rgb="FF000000"/>
        <rFont val="Arial"/>
        <family val="2"/>
      </rPr>
      <t>1</t>
    </r>
    <r>
      <rPr>
        <sz val="12"/>
        <color rgb="FF000000"/>
        <rFont val="宋体"/>
        <family val="3"/>
        <charset val="134"/>
      </rPr>
      <t>日调整南华商品指数权重，调整后的权重如下：</t>
    </r>
    <phoneticPr fontId="2" type="noConversion"/>
  </si>
  <si>
    <t>乙二醇</t>
  </si>
  <si>
    <t>纸浆</t>
  </si>
  <si>
    <t>PVC</t>
  </si>
  <si>
    <t>锰硅</t>
  </si>
  <si>
    <t>锡</t>
  </si>
  <si>
    <t>硅铁</t>
  </si>
  <si>
    <t>螺纹钢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</si>
</sst>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2"/>
      <color rgb="FF000000"/>
      <name val="Arial"/>
      <family val="2"/>
    </font>
    <font>
      <sz val="9"/>
      <name val="宋体"/>
      <family val="2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90" zoomScaleNormal="90" workbookViewId="0">
      <pane ySplit="2" topLeftCell="A3" activePane="bottomLeft" state="frozen"/>
      <selection pane="bottomLeft" activeCell="L33" sqref="L33"/>
    </sheetView>
  </sheetViews>
  <sheetFormatPr defaultRowHeight="13.5" x14ac:dyDescent="0.15"/>
  <cols>
    <col min="1" max="1" width="22.75" customWidth="1"/>
  </cols>
  <sheetData>
    <row r="1" spans="1:9" ht="30" customHeight="1" thickBot="1" x14ac:dyDescent="0.2">
      <c r="A1" s="13" t="s">
        <v>53</v>
      </c>
      <c r="B1" s="14"/>
      <c r="C1" s="14"/>
      <c r="D1" s="14"/>
      <c r="E1" s="14"/>
      <c r="F1" s="14"/>
      <c r="G1" s="14"/>
      <c r="H1" s="14"/>
      <c r="I1" s="15"/>
    </row>
    <row r="2" spans="1:9" ht="30.75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 thickBot="1" x14ac:dyDescent="0.2">
      <c r="A3" t="s">
        <v>11</v>
      </c>
      <c r="B3" s="4">
        <v>0.17860000000000001</v>
      </c>
      <c r="C3" s="4">
        <v>0.18940000000000001</v>
      </c>
      <c r="D3" s="4"/>
      <c r="E3" s="4">
        <v>0.25</v>
      </c>
      <c r="F3" s="4"/>
      <c r="G3" s="4"/>
      <c r="H3" s="4"/>
      <c r="I3" s="4"/>
    </row>
    <row r="4" spans="1:9" ht="15.75" thickBot="1" x14ac:dyDescent="0.2">
      <c r="A4" t="s">
        <v>60</v>
      </c>
      <c r="B4" s="4">
        <v>0.10929999999999999</v>
      </c>
      <c r="C4" s="4">
        <v>0.12659999999999999</v>
      </c>
      <c r="D4" s="4">
        <v>0.25</v>
      </c>
      <c r="E4" s="4"/>
      <c r="F4" s="4"/>
      <c r="G4" s="4"/>
      <c r="H4" s="4">
        <v>0.3755</v>
      </c>
      <c r="I4" s="4"/>
    </row>
    <row r="5" spans="1:9" ht="15.75" thickBot="1" x14ac:dyDescent="0.2">
      <c r="A5" t="s">
        <v>12</v>
      </c>
      <c r="B5" s="4">
        <v>8.8499999999999995E-2</v>
      </c>
      <c r="C5" s="4">
        <v>0.1016</v>
      </c>
      <c r="D5" s="4">
        <v>0.2293</v>
      </c>
      <c r="E5" s="4"/>
      <c r="F5" s="4"/>
      <c r="G5" s="4"/>
      <c r="H5" s="4">
        <v>0.3009</v>
      </c>
      <c r="I5" s="4"/>
    </row>
    <row r="6" spans="1:9" ht="15.75" thickBot="1" x14ac:dyDescent="0.2">
      <c r="A6" t="s">
        <v>10</v>
      </c>
      <c r="B6" s="4">
        <v>8.09E-2</v>
      </c>
      <c r="C6" s="4">
        <v>9.2799999999999994E-2</v>
      </c>
      <c r="D6" s="4">
        <v>0.20949999999999999</v>
      </c>
      <c r="E6" s="4"/>
      <c r="F6" s="4"/>
      <c r="G6" s="4"/>
      <c r="H6" s="4"/>
      <c r="I6" s="4">
        <v>0.38940000000000002</v>
      </c>
    </row>
    <row r="7" spans="1:9" ht="15.75" thickBot="1" x14ac:dyDescent="0.2">
      <c r="A7" t="s">
        <v>19</v>
      </c>
      <c r="B7" s="4">
        <v>0.05</v>
      </c>
      <c r="C7" s="4">
        <v>6.0999999999999999E-2</v>
      </c>
      <c r="D7" s="4">
        <v>0.1258</v>
      </c>
      <c r="E7" s="4"/>
      <c r="F7" s="4"/>
      <c r="G7" s="4"/>
      <c r="H7" s="4"/>
      <c r="I7" s="4">
        <v>0.23419999999999999</v>
      </c>
    </row>
    <row r="8" spans="1:9" ht="15.75" thickBot="1" x14ac:dyDescent="0.2">
      <c r="A8" t="s">
        <v>14</v>
      </c>
      <c r="B8" s="4">
        <v>4.4200000000000003E-2</v>
      </c>
      <c r="C8" s="4">
        <v>5.4100000000000002E-2</v>
      </c>
      <c r="D8" s="4"/>
      <c r="E8" s="4">
        <v>0.1084</v>
      </c>
      <c r="F8" s="4"/>
      <c r="G8" s="4"/>
      <c r="H8" s="4"/>
      <c r="I8" s="4"/>
    </row>
    <row r="9" spans="1:9" ht="15.75" thickBot="1" x14ac:dyDescent="0.2">
      <c r="A9" t="s">
        <v>13</v>
      </c>
      <c r="B9" s="4">
        <v>6.7299999999999999E-2</v>
      </c>
      <c r="C9" s="4">
        <v>7.3700000000000002E-2</v>
      </c>
      <c r="D9" s="4"/>
      <c r="E9" s="4">
        <v>0.12230000000000001</v>
      </c>
      <c r="F9" s="4"/>
      <c r="G9" s="4"/>
      <c r="H9" s="4">
        <v>0.2162</v>
      </c>
      <c r="I9" s="4"/>
    </row>
    <row r="10" spans="1:9" ht="15.75" thickBot="1" x14ac:dyDescent="0.2">
      <c r="A10" t="s">
        <v>16</v>
      </c>
      <c r="B10" s="4">
        <v>4.5100000000000001E-2</v>
      </c>
      <c r="C10" s="4"/>
      <c r="D10" s="4"/>
      <c r="E10" s="4"/>
      <c r="F10" s="4"/>
      <c r="G10" s="4"/>
      <c r="H10" s="4"/>
      <c r="I10" s="4"/>
    </row>
    <row r="11" spans="1:9" ht="15.75" thickBot="1" x14ac:dyDescent="0.2">
      <c r="A11" t="s">
        <v>15</v>
      </c>
      <c r="B11" s="4">
        <v>4.0099999999999997E-2</v>
      </c>
      <c r="C11" s="4"/>
      <c r="D11" s="4"/>
      <c r="E11" s="4"/>
      <c r="F11" s="4">
        <v>0.15959999999999999</v>
      </c>
      <c r="G11" s="4">
        <v>0.59350000000000003</v>
      </c>
      <c r="H11" s="4"/>
      <c r="I11" s="4"/>
    </row>
    <row r="12" spans="1:9" ht="15.75" thickBot="1" x14ac:dyDescent="0.2">
      <c r="A12" t="s">
        <v>23</v>
      </c>
      <c r="B12" s="4">
        <v>3.7100000000000001E-2</v>
      </c>
      <c r="C12" s="4">
        <v>4.4299999999999999E-2</v>
      </c>
      <c r="D12" s="4">
        <v>9.4100000000000003E-2</v>
      </c>
      <c r="E12" s="4"/>
      <c r="F12" s="4"/>
      <c r="G12" s="4"/>
      <c r="H12" s="4"/>
      <c r="I12" s="4">
        <v>0.17519999999999999</v>
      </c>
    </row>
    <row r="13" spans="1:9" ht="15.75" thickBot="1" x14ac:dyDescent="0.2">
      <c r="A13" t="s">
        <v>38</v>
      </c>
      <c r="B13" s="4">
        <v>4.2200000000000001E-2</v>
      </c>
      <c r="C13" s="4"/>
      <c r="D13" s="4"/>
      <c r="E13" s="4"/>
      <c r="F13" s="4">
        <v>0.16389999999999999</v>
      </c>
      <c r="G13" s="4"/>
      <c r="H13" s="4"/>
      <c r="I13" s="4"/>
    </row>
    <row r="14" spans="1:9" ht="15.75" thickBot="1" x14ac:dyDescent="0.2">
      <c r="A14" t="s">
        <v>20</v>
      </c>
      <c r="B14" s="4">
        <v>2.7900000000000001E-2</v>
      </c>
      <c r="C14" s="4"/>
      <c r="D14" s="4"/>
      <c r="E14" s="4"/>
      <c r="F14" s="4">
        <v>0.1125</v>
      </c>
      <c r="G14" s="4"/>
      <c r="H14" s="4"/>
      <c r="I14" s="4"/>
    </row>
    <row r="15" spans="1:9" ht="15.75" thickBot="1" x14ac:dyDescent="0.2">
      <c r="A15" t="s">
        <v>24</v>
      </c>
      <c r="B15" s="4">
        <v>3.2500000000000001E-2</v>
      </c>
      <c r="C15" s="4">
        <v>3.7699999999999997E-2</v>
      </c>
      <c r="D15" s="4"/>
      <c r="E15" s="4">
        <v>6.93E-2</v>
      </c>
      <c r="F15" s="4"/>
      <c r="G15" s="4"/>
      <c r="H15" s="4"/>
      <c r="I15" s="4"/>
    </row>
    <row r="16" spans="1:9" ht="15.75" thickBot="1" x14ac:dyDescent="0.2">
      <c r="A16" t="s">
        <v>17</v>
      </c>
      <c r="B16" s="4">
        <v>2.5999999999999999E-2</v>
      </c>
      <c r="C16" s="4"/>
      <c r="D16" s="4"/>
      <c r="E16" s="4"/>
      <c r="F16" s="4"/>
      <c r="G16" s="4">
        <v>0.40649999999999997</v>
      </c>
      <c r="H16" s="4"/>
      <c r="I16" s="4"/>
    </row>
    <row r="17" spans="1:9" ht="15.75" thickBot="1" x14ac:dyDescent="0.2">
      <c r="A17" t="s">
        <v>25</v>
      </c>
      <c r="B17" s="4">
        <v>2.23E-2</v>
      </c>
      <c r="C17" s="4"/>
      <c r="D17" s="4"/>
      <c r="E17" s="4"/>
      <c r="F17" s="4">
        <v>9.11E-2</v>
      </c>
      <c r="G17" s="4"/>
      <c r="H17" s="4"/>
      <c r="I17" s="4"/>
    </row>
    <row r="18" spans="1:9" ht="15.75" thickBot="1" x14ac:dyDescent="0.2">
      <c r="A18" t="s">
        <v>22</v>
      </c>
      <c r="B18" s="4">
        <v>2.3400000000000001E-2</v>
      </c>
      <c r="C18" s="4"/>
      <c r="D18" s="4"/>
      <c r="E18" s="4"/>
      <c r="F18" s="4">
        <v>9.3399999999999997E-2</v>
      </c>
      <c r="G18" s="4"/>
      <c r="H18" s="4"/>
      <c r="I18" s="4"/>
    </row>
    <row r="19" spans="1:9" ht="15.75" thickBot="1" x14ac:dyDescent="0.2">
      <c r="A19" t="s">
        <v>27</v>
      </c>
      <c r="B19" s="4">
        <v>2.4E-2</v>
      </c>
      <c r="C19" s="4">
        <v>2.8000000000000001E-2</v>
      </c>
      <c r="D19" s="4"/>
      <c r="E19" s="4">
        <v>5.21E-2</v>
      </c>
      <c r="F19" s="4"/>
      <c r="G19" s="4"/>
      <c r="H19" s="4"/>
      <c r="I19" s="4"/>
    </row>
    <row r="20" spans="1:9" ht="15.75" thickBot="1" x14ac:dyDescent="0.2">
      <c r="A20" t="s">
        <v>42</v>
      </c>
      <c r="B20" s="4">
        <v>0.02</v>
      </c>
      <c r="C20" s="4">
        <v>2.2599999999999999E-2</v>
      </c>
      <c r="D20" s="4"/>
      <c r="E20" s="4">
        <v>4.2999999999999997E-2</v>
      </c>
      <c r="F20" s="4"/>
      <c r="G20" s="4"/>
      <c r="H20" s="4"/>
      <c r="I20" s="4"/>
    </row>
    <row r="21" spans="1:9" ht="15.75" thickBot="1" x14ac:dyDescent="0.2">
      <c r="A21" t="s">
        <v>28</v>
      </c>
      <c r="B21" s="4">
        <v>2.06E-2</v>
      </c>
      <c r="C21" s="4"/>
      <c r="D21" s="4"/>
      <c r="E21" s="4"/>
      <c r="F21" s="4">
        <v>8.14E-2</v>
      </c>
      <c r="G21" s="4"/>
      <c r="H21" s="4"/>
      <c r="I21" s="4"/>
    </row>
    <row r="22" spans="1:9" ht="15.75" thickBot="1" x14ac:dyDescent="0.2">
      <c r="A22" t="s">
        <v>54</v>
      </c>
      <c r="B22" s="4">
        <v>0.02</v>
      </c>
      <c r="C22" s="4">
        <v>2.1499999999999998E-2</v>
      </c>
      <c r="D22" s="4"/>
      <c r="E22" s="4">
        <v>4.6199999999999998E-2</v>
      </c>
      <c r="F22" s="4"/>
      <c r="G22" s="4"/>
      <c r="H22" s="4"/>
      <c r="I22" s="4"/>
    </row>
    <row r="23" spans="1:9" ht="15.75" thickBot="1" x14ac:dyDescent="0.2">
      <c r="A23" t="s">
        <v>26</v>
      </c>
      <c r="B23" s="2"/>
      <c r="C23" s="4">
        <v>2.58E-2</v>
      </c>
      <c r="D23" s="4"/>
      <c r="E23" s="4">
        <v>4.7899999999999998E-2</v>
      </c>
      <c r="F23" s="4"/>
      <c r="G23" s="4"/>
      <c r="H23" s="4"/>
      <c r="I23" s="4"/>
    </row>
    <row r="24" spans="1:9" ht="15.75" thickBot="1" x14ac:dyDescent="0.2">
      <c r="A24" t="s">
        <v>21</v>
      </c>
      <c r="B24" s="2"/>
      <c r="C24" s="4">
        <v>2.8000000000000001E-2</v>
      </c>
      <c r="D24" s="4"/>
      <c r="E24" s="4">
        <v>4.0599999999999997E-2</v>
      </c>
      <c r="F24" s="4"/>
      <c r="G24" s="4"/>
      <c r="H24" s="4"/>
      <c r="I24" s="4"/>
    </row>
    <row r="25" spans="1:9" ht="15.75" thickBot="1" x14ac:dyDescent="0.2">
      <c r="A25" t="s">
        <v>30</v>
      </c>
      <c r="B25" s="2"/>
      <c r="C25" s="4">
        <v>3.5700000000000003E-2</v>
      </c>
      <c r="D25" s="4">
        <v>9.1300000000000006E-2</v>
      </c>
      <c r="E25" s="4"/>
      <c r="F25" s="4"/>
      <c r="G25" s="4"/>
      <c r="H25" s="4"/>
      <c r="I25" s="4">
        <v>0.16930000000000001</v>
      </c>
    </row>
    <row r="26" spans="1:9" ht="15.75" thickBot="1" x14ac:dyDescent="0.2">
      <c r="A26" t="s">
        <v>31</v>
      </c>
      <c r="B26" s="2"/>
      <c r="C26" s="4">
        <v>0.02</v>
      </c>
      <c r="D26" s="4"/>
      <c r="E26" s="4">
        <v>5.5500000000000001E-2</v>
      </c>
      <c r="F26" s="4"/>
      <c r="G26" s="4"/>
      <c r="H26" s="4"/>
      <c r="I26" s="4"/>
    </row>
    <row r="27" spans="1:9" ht="15.75" thickBot="1" x14ac:dyDescent="0.2">
      <c r="A27" t="s">
        <v>35</v>
      </c>
      <c r="B27" s="5"/>
      <c r="C27" s="4"/>
      <c r="D27" s="4"/>
      <c r="E27" s="4"/>
      <c r="F27" s="4">
        <v>4.8300000000000003E-2</v>
      </c>
      <c r="G27" s="4"/>
      <c r="H27" s="4"/>
      <c r="I27" s="4"/>
    </row>
    <row r="28" spans="1:9" ht="15.75" thickBot="1" x14ac:dyDescent="0.2">
      <c r="A28" t="s">
        <v>18</v>
      </c>
      <c r="B28" s="5"/>
      <c r="C28" s="4">
        <v>3.7199999999999997E-2</v>
      </c>
      <c r="D28" s="4"/>
      <c r="E28" s="4">
        <v>0.1133</v>
      </c>
      <c r="F28" s="4"/>
      <c r="G28" s="4"/>
      <c r="H28" s="4">
        <v>0.1074</v>
      </c>
      <c r="I28" s="4"/>
    </row>
    <row r="29" spans="1:9" ht="15.75" thickBot="1" x14ac:dyDescent="0.2">
      <c r="A29" t="s">
        <v>32</v>
      </c>
      <c r="B29" s="2"/>
      <c r="C29" s="4"/>
      <c r="D29" s="4"/>
      <c r="E29" s="4">
        <v>2.8299999999999999E-2</v>
      </c>
      <c r="F29" s="4"/>
      <c r="G29" s="4"/>
      <c r="H29" s="4"/>
      <c r="I29" s="4"/>
    </row>
    <row r="30" spans="1:9" ht="15.75" thickBot="1" x14ac:dyDescent="0.2">
      <c r="A30" t="s">
        <v>55</v>
      </c>
      <c r="B30" s="2"/>
      <c r="C30" s="4"/>
      <c r="D30" s="4"/>
      <c r="E30" s="4">
        <v>2.3099999999999999E-2</v>
      </c>
      <c r="F30" s="4"/>
      <c r="G30" s="4"/>
      <c r="H30" s="4"/>
      <c r="I30" s="4"/>
    </row>
    <row r="31" spans="1:9" ht="15.75" thickBot="1" x14ac:dyDescent="0.2">
      <c r="A31" t="s">
        <v>34</v>
      </c>
      <c r="B31" s="6"/>
      <c r="C31" s="4"/>
      <c r="D31" s="4"/>
      <c r="E31" s="4"/>
      <c r="F31" s="4">
        <v>9.4799999999999995E-2</v>
      </c>
      <c r="G31" s="4"/>
      <c r="H31" s="4"/>
      <c r="I31" s="4"/>
    </row>
    <row r="32" spans="1:9" ht="15.75" thickBot="1" x14ac:dyDescent="0.2">
      <c r="A32" t="s">
        <v>36</v>
      </c>
      <c r="B32" s="2"/>
      <c r="C32" s="4"/>
      <c r="D32" s="4"/>
      <c r="E32" s="4"/>
      <c r="F32" s="4">
        <v>5.3800000000000001E-2</v>
      </c>
      <c r="G32" s="4"/>
      <c r="H32" s="4"/>
      <c r="I32" s="4"/>
    </row>
    <row r="33" spans="1:9" ht="15.75" thickBot="1" x14ac:dyDescent="0.2">
      <c r="A33" t="s">
        <v>29</v>
      </c>
      <c r="B33" s="2"/>
      <c r="C33" s="4"/>
      <c r="D33" s="4"/>
      <c r="E33" s="4"/>
      <c r="F33" s="4"/>
      <c r="G33" s="4"/>
      <c r="H33" s="4"/>
      <c r="I33" s="4"/>
    </row>
    <row r="34" spans="1:9" ht="15.75" thickBot="1" x14ac:dyDescent="0.2">
      <c r="A34" t="s">
        <v>33</v>
      </c>
      <c r="B34" s="8"/>
      <c r="C34" s="4"/>
      <c r="D34" s="4"/>
      <c r="E34" s="4"/>
      <c r="F34" s="4">
        <v>8.1199999999999994E-2</v>
      </c>
      <c r="G34" s="4"/>
      <c r="H34" s="4"/>
      <c r="I34" s="4"/>
    </row>
    <row r="35" spans="1:9" ht="15.75" thickBot="1" x14ac:dyDescent="0.2">
      <c r="A35" t="s">
        <v>56</v>
      </c>
      <c r="B35" s="2"/>
      <c r="C35" s="4"/>
      <c r="D35" s="4"/>
      <c r="E35" s="4"/>
      <c r="F35" s="4"/>
      <c r="G35" s="4"/>
      <c r="H35" s="4"/>
      <c r="I35" s="4"/>
    </row>
    <row r="36" spans="1:9" ht="15.75" thickBot="1" x14ac:dyDescent="0.2">
      <c r="A36" t="s">
        <v>37</v>
      </c>
      <c r="B36" s="8"/>
      <c r="C36" s="4"/>
      <c r="D36" s="4"/>
      <c r="E36" s="4"/>
      <c r="F36" s="4">
        <v>0.02</v>
      </c>
      <c r="G36" s="4"/>
      <c r="H36" s="4"/>
      <c r="I36" s="4"/>
    </row>
    <row r="37" spans="1:9" ht="15.75" thickBot="1" x14ac:dyDescent="0.2">
      <c r="A37" t="s">
        <v>43</v>
      </c>
      <c r="I37" s="4">
        <v>3.1899999999999998E-2</v>
      </c>
    </row>
    <row r="38" spans="1:9" x14ac:dyDescent="0.15">
      <c r="A38" t="s">
        <v>57</v>
      </c>
    </row>
    <row r="39" spans="1:9" x14ac:dyDescent="0.15">
      <c r="A39" t="s">
        <v>58</v>
      </c>
    </row>
    <row r="40" spans="1:9" x14ac:dyDescent="0.15">
      <c r="A40" t="s">
        <v>59</v>
      </c>
    </row>
    <row r="41" spans="1:9" x14ac:dyDescent="0.15">
      <c r="B41" s="3">
        <f>SUM(B3:B40)</f>
        <v>1</v>
      </c>
      <c r="C41" s="3">
        <f t="shared" ref="C41:I41" si="0">SUM(C3:C40)</f>
        <v>0.99999999999999989</v>
      </c>
      <c r="D41" s="3">
        <f t="shared" si="0"/>
        <v>1</v>
      </c>
      <c r="E41" s="3">
        <f t="shared" si="0"/>
        <v>1</v>
      </c>
      <c r="F41" s="3">
        <f t="shared" si="0"/>
        <v>1</v>
      </c>
      <c r="G41" s="3">
        <f t="shared" si="0"/>
        <v>1</v>
      </c>
      <c r="H41" s="3">
        <f t="shared" si="0"/>
        <v>1</v>
      </c>
      <c r="I41" s="3">
        <f t="shared" si="0"/>
        <v>1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L12" sqref="L12"/>
    </sheetView>
  </sheetViews>
  <sheetFormatPr defaultRowHeight="13.5" x14ac:dyDescent="0.15"/>
  <sheetData>
    <row r="1" spans="1:9" ht="15.75" thickBot="1" x14ac:dyDescent="0.2">
      <c r="A1" s="13" t="s">
        <v>53</v>
      </c>
      <c r="B1" s="14"/>
      <c r="C1" s="14"/>
      <c r="D1" s="14"/>
      <c r="E1" s="14"/>
      <c r="F1" s="14"/>
      <c r="G1" s="14"/>
      <c r="H1" s="14"/>
      <c r="I1" s="15"/>
    </row>
    <row r="2" spans="1:9" ht="30.75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 thickBot="1" x14ac:dyDescent="0.2">
      <c r="A3" t="s">
        <v>11</v>
      </c>
      <c r="B3" s="4">
        <v>0.17860000000000001</v>
      </c>
      <c r="C3" s="4">
        <v>0.18940000000000001</v>
      </c>
      <c r="D3" s="4"/>
      <c r="E3" s="4">
        <v>0.25</v>
      </c>
      <c r="F3" s="4"/>
      <c r="G3" s="4"/>
      <c r="H3" s="4"/>
      <c r="I3" s="4"/>
    </row>
    <row r="4" spans="1:9" ht="15.75" thickBot="1" x14ac:dyDescent="0.2">
      <c r="A4" t="s">
        <v>60</v>
      </c>
      <c r="B4" s="4">
        <v>0.10929999999999999</v>
      </c>
      <c r="C4" s="4">
        <v>0.12659999999999999</v>
      </c>
      <c r="D4" s="4">
        <v>0.25</v>
      </c>
      <c r="E4" s="4"/>
      <c r="F4" s="4"/>
      <c r="G4" s="4"/>
      <c r="H4" s="4">
        <v>0.3755</v>
      </c>
      <c r="I4" s="4"/>
    </row>
    <row r="5" spans="1:9" ht="15.75" thickBot="1" x14ac:dyDescent="0.2">
      <c r="A5" t="s">
        <v>12</v>
      </c>
      <c r="B5" s="4">
        <v>8.8499999999999995E-2</v>
      </c>
      <c r="C5" s="4">
        <v>0.1016</v>
      </c>
      <c r="D5" s="4">
        <v>0.2293</v>
      </c>
      <c r="E5" s="4"/>
      <c r="F5" s="4"/>
      <c r="G5" s="4"/>
      <c r="H5" s="4">
        <v>0.3009</v>
      </c>
      <c r="I5" s="4"/>
    </row>
    <row r="6" spans="1:9" ht="15.75" thickBot="1" x14ac:dyDescent="0.2">
      <c r="A6" t="s">
        <v>10</v>
      </c>
      <c r="B6" s="4">
        <v>8.09E-2</v>
      </c>
      <c r="C6" s="4">
        <v>9.2799999999999994E-2</v>
      </c>
      <c r="D6" s="4">
        <v>0.20949999999999999</v>
      </c>
      <c r="E6" s="4"/>
      <c r="F6" s="4"/>
      <c r="G6" s="4"/>
      <c r="H6" s="4"/>
      <c r="I6" s="4">
        <v>0.38940000000000002</v>
      </c>
    </row>
    <row r="7" spans="1:9" ht="15.75" thickBot="1" x14ac:dyDescent="0.2">
      <c r="A7" t="s">
        <v>13</v>
      </c>
      <c r="B7" s="4">
        <v>6.7299999999999999E-2</v>
      </c>
      <c r="C7" s="4">
        <v>7.3700000000000002E-2</v>
      </c>
      <c r="D7" s="4"/>
      <c r="E7" s="4">
        <v>0.12230000000000001</v>
      </c>
      <c r="F7" s="4"/>
      <c r="G7" s="4"/>
      <c r="H7" s="4">
        <v>0.2162</v>
      </c>
      <c r="I7" s="4"/>
    </row>
    <row r="8" spans="1:9" ht="15.75" thickBot="1" x14ac:dyDescent="0.2">
      <c r="A8" t="s">
        <v>19</v>
      </c>
      <c r="B8" s="4">
        <v>0.05</v>
      </c>
      <c r="C8" s="4">
        <v>6.0999999999999999E-2</v>
      </c>
      <c r="D8" s="4">
        <v>0.1258</v>
      </c>
      <c r="E8" s="4"/>
      <c r="F8" s="4"/>
      <c r="G8" s="4"/>
      <c r="H8" s="4"/>
      <c r="I8" s="4">
        <v>0.23419999999999999</v>
      </c>
    </row>
    <row r="9" spans="1:9" ht="15.75" thickBot="1" x14ac:dyDescent="0.2">
      <c r="A9" t="s">
        <v>16</v>
      </c>
      <c r="B9" s="4">
        <v>4.5100000000000001E-2</v>
      </c>
      <c r="C9" s="4"/>
      <c r="D9" s="4"/>
      <c r="E9" s="4"/>
      <c r="F9" s="4"/>
      <c r="G9" s="4"/>
      <c r="H9" s="4"/>
      <c r="I9" s="4"/>
    </row>
    <row r="10" spans="1:9" ht="15.75" thickBot="1" x14ac:dyDescent="0.2">
      <c r="A10" t="s">
        <v>14</v>
      </c>
      <c r="B10" s="4">
        <v>4.4200000000000003E-2</v>
      </c>
      <c r="C10" s="4">
        <v>5.4100000000000002E-2</v>
      </c>
      <c r="D10" s="4"/>
      <c r="E10" s="4">
        <v>0.1084</v>
      </c>
      <c r="F10" s="4"/>
      <c r="G10" s="4"/>
      <c r="H10" s="4"/>
      <c r="I10" s="4"/>
    </row>
    <row r="11" spans="1:9" ht="15.75" thickBot="1" x14ac:dyDescent="0.2">
      <c r="A11" t="s">
        <v>38</v>
      </c>
      <c r="B11" s="4">
        <v>4.2200000000000001E-2</v>
      </c>
      <c r="C11" s="4"/>
      <c r="D11" s="4"/>
      <c r="E11" s="4"/>
      <c r="F11" s="4">
        <v>0.16389999999999999</v>
      </c>
      <c r="G11" s="4"/>
      <c r="H11" s="4"/>
      <c r="I11" s="4"/>
    </row>
    <row r="12" spans="1:9" ht="15.75" thickBot="1" x14ac:dyDescent="0.2">
      <c r="A12" t="s">
        <v>15</v>
      </c>
      <c r="B12" s="4">
        <v>4.0099999999999997E-2</v>
      </c>
      <c r="C12" s="4"/>
      <c r="D12" s="4"/>
      <c r="E12" s="4"/>
      <c r="F12" s="4">
        <v>0.15959999999999999</v>
      </c>
      <c r="G12" s="4">
        <v>0.65090000000000003</v>
      </c>
      <c r="H12" s="4"/>
      <c r="I12" s="4"/>
    </row>
    <row r="13" spans="1:9" ht="15.75" thickBot="1" x14ac:dyDescent="0.2">
      <c r="A13" t="s">
        <v>23</v>
      </c>
      <c r="B13" s="4">
        <v>3.7100000000000001E-2</v>
      </c>
      <c r="C13" s="4">
        <v>4.4299999999999999E-2</v>
      </c>
      <c r="D13" s="4">
        <v>9.4100000000000003E-2</v>
      </c>
      <c r="E13" s="4"/>
      <c r="F13" s="4"/>
      <c r="G13" s="4"/>
      <c r="H13" s="4"/>
      <c r="I13" s="4">
        <v>0.17519999999999999</v>
      </c>
    </row>
    <row r="14" spans="1:9" ht="15.75" thickBot="1" x14ac:dyDescent="0.2">
      <c r="A14" t="s">
        <v>24</v>
      </c>
      <c r="B14" s="4">
        <v>3.2500000000000001E-2</v>
      </c>
      <c r="C14" s="4">
        <v>3.7699999999999997E-2</v>
      </c>
      <c r="D14" s="4"/>
      <c r="E14" s="4">
        <v>6.93E-2</v>
      </c>
      <c r="F14" s="4"/>
      <c r="G14" s="4"/>
      <c r="H14" s="4"/>
      <c r="I14" s="4"/>
    </row>
    <row r="15" spans="1:9" ht="15.75" thickBot="1" x14ac:dyDescent="0.2">
      <c r="A15" t="s">
        <v>20</v>
      </c>
      <c r="B15" s="4">
        <v>2.7900000000000001E-2</v>
      </c>
      <c r="C15" s="4"/>
      <c r="D15" s="4"/>
      <c r="E15" s="4"/>
      <c r="F15" s="4">
        <v>0.1125</v>
      </c>
      <c r="G15" s="4"/>
      <c r="H15" s="4"/>
      <c r="I15" s="4"/>
    </row>
    <row r="16" spans="1:9" ht="15.75" thickBot="1" x14ac:dyDescent="0.2">
      <c r="A16" t="s">
        <v>17</v>
      </c>
      <c r="B16" s="4">
        <v>2.5999999999999999E-2</v>
      </c>
      <c r="C16" s="4"/>
      <c r="D16" s="4"/>
      <c r="E16" s="4"/>
      <c r="F16" s="4"/>
      <c r="G16" s="4">
        <v>0.34910000000000002</v>
      </c>
      <c r="H16" s="4"/>
      <c r="I16" s="4"/>
    </row>
    <row r="17" spans="1:9" ht="15.75" thickBot="1" x14ac:dyDescent="0.2">
      <c r="A17" t="s">
        <v>27</v>
      </c>
      <c r="B17" s="4">
        <v>2.4E-2</v>
      </c>
      <c r="C17" s="4">
        <v>2.8000000000000001E-2</v>
      </c>
      <c r="D17" s="4"/>
      <c r="E17" s="4">
        <v>5.21E-2</v>
      </c>
      <c r="F17" s="4"/>
      <c r="G17" s="4"/>
      <c r="H17" s="4"/>
      <c r="I17" s="4"/>
    </row>
    <row r="18" spans="1:9" ht="15.75" thickBot="1" x14ac:dyDescent="0.2">
      <c r="A18" t="s">
        <v>22</v>
      </c>
      <c r="B18" s="4">
        <v>2.3400000000000001E-2</v>
      </c>
      <c r="C18" s="4"/>
      <c r="D18" s="4"/>
      <c r="E18" s="4"/>
      <c r="F18" s="4">
        <v>9.3399999999999997E-2</v>
      </c>
      <c r="G18" s="4"/>
      <c r="H18" s="4"/>
      <c r="I18" s="4"/>
    </row>
    <row r="19" spans="1:9" ht="15.75" thickBot="1" x14ac:dyDescent="0.2">
      <c r="A19" t="s">
        <v>25</v>
      </c>
      <c r="B19" s="4">
        <v>2.23E-2</v>
      </c>
      <c r="C19" s="4"/>
      <c r="D19" s="4"/>
      <c r="E19" s="4"/>
      <c r="F19" s="4">
        <v>9.11E-2</v>
      </c>
      <c r="G19" s="4"/>
      <c r="H19" s="4"/>
      <c r="I19" s="4"/>
    </row>
    <row r="20" spans="1:9" ht="15.75" thickBot="1" x14ac:dyDescent="0.2">
      <c r="A20" t="s">
        <v>42</v>
      </c>
      <c r="B20" s="4">
        <v>0.02</v>
      </c>
      <c r="C20" s="4">
        <v>2.2599999999999999E-2</v>
      </c>
      <c r="D20" s="4"/>
      <c r="E20" s="4">
        <v>4.2999999999999997E-2</v>
      </c>
      <c r="F20" s="4"/>
      <c r="G20" s="4"/>
      <c r="H20" s="4"/>
      <c r="I20" s="4"/>
    </row>
    <row r="21" spans="1:9" ht="15.75" thickBot="1" x14ac:dyDescent="0.2">
      <c r="A21" t="s">
        <v>28</v>
      </c>
      <c r="B21" s="4">
        <v>2.06E-2</v>
      </c>
      <c r="C21" s="4"/>
      <c r="D21" s="4"/>
      <c r="E21" s="4"/>
      <c r="F21" s="4">
        <v>8.14E-2</v>
      </c>
      <c r="G21" s="4"/>
      <c r="H21" s="4"/>
      <c r="I21" s="4"/>
    </row>
    <row r="22" spans="1:9" ht="15.75" thickBot="1" x14ac:dyDescent="0.2">
      <c r="A22" t="s">
        <v>54</v>
      </c>
      <c r="B22" s="4">
        <v>0.02</v>
      </c>
      <c r="C22" s="4">
        <v>2.1499999999999998E-2</v>
      </c>
      <c r="D22" s="4"/>
      <c r="E22" s="4">
        <v>4.6199999999999998E-2</v>
      </c>
      <c r="F22" s="4"/>
      <c r="G22" s="4"/>
      <c r="H22" s="4"/>
      <c r="I22" s="4"/>
    </row>
    <row r="23" spans="1:9" ht="15.75" thickBot="1" x14ac:dyDescent="0.2">
      <c r="A23" t="s">
        <v>26</v>
      </c>
      <c r="B23" s="2"/>
      <c r="C23" s="4">
        <v>2.58E-2</v>
      </c>
      <c r="D23" s="4"/>
      <c r="E23" s="4">
        <v>4.7899999999999998E-2</v>
      </c>
      <c r="F23" s="4"/>
      <c r="G23" s="4"/>
      <c r="H23" s="4"/>
      <c r="I23" s="4"/>
    </row>
    <row r="24" spans="1:9" ht="15.75" thickBot="1" x14ac:dyDescent="0.2">
      <c r="A24" t="s">
        <v>21</v>
      </c>
      <c r="B24" s="2"/>
      <c r="C24" s="4">
        <v>2.8000000000000001E-2</v>
      </c>
      <c r="D24" s="4"/>
      <c r="E24" s="4">
        <v>4.0599999999999997E-2</v>
      </c>
      <c r="F24" s="4"/>
      <c r="G24" s="4"/>
      <c r="H24" s="4"/>
      <c r="I24" s="4"/>
    </row>
    <row r="25" spans="1:9" ht="15.75" thickBot="1" x14ac:dyDescent="0.2">
      <c r="A25" t="s">
        <v>30</v>
      </c>
      <c r="B25" s="2"/>
      <c r="C25" s="4">
        <v>3.5700000000000003E-2</v>
      </c>
      <c r="D25" s="4">
        <v>9.1300000000000006E-2</v>
      </c>
      <c r="E25" s="4"/>
      <c r="F25" s="4"/>
      <c r="G25" s="4"/>
      <c r="H25" s="4"/>
      <c r="I25" s="4">
        <v>0.16930000000000001</v>
      </c>
    </row>
    <row r="26" spans="1:9" ht="15.75" thickBot="1" x14ac:dyDescent="0.2">
      <c r="A26" t="s">
        <v>31</v>
      </c>
      <c r="B26" s="2"/>
      <c r="C26" s="4">
        <v>0.02</v>
      </c>
      <c r="D26" s="4"/>
      <c r="E26" s="4">
        <v>5.5500000000000001E-2</v>
      </c>
      <c r="F26" s="4"/>
      <c r="G26" s="4"/>
      <c r="H26" s="4"/>
      <c r="I26" s="4"/>
    </row>
    <row r="27" spans="1:9" ht="15.75" thickBot="1" x14ac:dyDescent="0.2">
      <c r="A27" t="s">
        <v>35</v>
      </c>
      <c r="B27" s="11"/>
      <c r="C27" s="4"/>
      <c r="D27" s="4"/>
      <c r="E27" s="4"/>
      <c r="F27" s="4">
        <v>4.8300000000000003E-2</v>
      </c>
      <c r="G27" s="4"/>
      <c r="H27" s="4"/>
      <c r="I27" s="4"/>
    </row>
    <row r="28" spans="1:9" ht="15.75" thickBot="1" x14ac:dyDescent="0.2">
      <c r="A28" t="s">
        <v>18</v>
      </c>
      <c r="B28" s="11"/>
      <c r="C28" s="4">
        <v>3.7199999999999997E-2</v>
      </c>
      <c r="D28" s="4"/>
      <c r="E28" s="4">
        <v>0.1133</v>
      </c>
      <c r="F28" s="4"/>
      <c r="G28" s="4"/>
      <c r="H28" s="4">
        <v>0.1074</v>
      </c>
      <c r="I28" s="4"/>
    </row>
    <row r="29" spans="1:9" ht="15.75" thickBot="1" x14ac:dyDescent="0.2">
      <c r="A29" t="s">
        <v>32</v>
      </c>
      <c r="B29" s="2"/>
      <c r="C29" s="4"/>
      <c r="D29" s="4"/>
      <c r="E29" s="4">
        <v>2.8299999999999999E-2</v>
      </c>
      <c r="F29" s="4"/>
      <c r="G29" s="4"/>
      <c r="H29" s="4"/>
      <c r="I29" s="4"/>
    </row>
    <row r="30" spans="1:9" ht="15.75" thickBot="1" x14ac:dyDescent="0.2">
      <c r="A30" t="s">
        <v>55</v>
      </c>
      <c r="B30" s="2"/>
      <c r="C30" s="4"/>
      <c r="D30" s="4"/>
      <c r="E30" s="4">
        <v>2.3099999999999999E-2</v>
      </c>
      <c r="F30" s="4"/>
      <c r="G30" s="4"/>
      <c r="H30" s="4"/>
      <c r="I30" s="4"/>
    </row>
    <row r="31" spans="1:9" ht="15.75" thickBot="1" x14ac:dyDescent="0.2">
      <c r="A31" t="s">
        <v>34</v>
      </c>
      <c r="B31" s="6"/>
      <c r="C31" s="4"/>
      <c r="D31" s="4"/>
      <c r="E31" s="4"/>
      <c r="F31" s="4">
        <v>9.4799999999999995E-2</v>
      </c>
      <c r="G31" s="4"/>
      <c r="H31" s="4"/>
      <c r="I31" s="4"/>
    </row>
    <row r="32" spans="1:9" ht="15.75" thickBot="1" x14ac:dyDescent="0.2">
      <c r="A32" t="s">
        <v>36</v>
      </c>
      <c r="B32" s="2"/>
      <c r="C32" s="4"/>
      <c r="D32" s="4"/>
      <c r="E32" s="4"/>
      <c r="F32" s="4">
        <v>5.3800000000000001E-2</v>
      </c>
      <c r="G32" s="4"/>
      <c r="H32" s="4"/>
      <c r="I32" s="4"/>
    </row>
    <row r="33" spans="1:9" ht="15.75" thickBot="1" x14ac:dyDescent="0.2">
      <c r="A33" t="s">
        <v>29</v>
      </c>
      <c r="B33" s="2"/>
      <c r="C33" s="4"/>
      <c r="D33" s="4"/>
      <c r="E33" s="4"/>
      <c r="F33" s="4"/>
      <c r="G33" s="4"/>
      <c r="H33" s="4"/>
      <c r="I33" s="4"/>
    </row>
    <row r="34" spans="1:9" ht="15.75" thickBot="1" x14ac:dyDescent="0.2">
      <c r="A34" t="s">
        <v>33</v>
      </c>
      <c r="B34" s="12"/>
      <c r="C34" s="4"/>
      <c r="D34" s="4"/>
      <c r="E34" s="4"/>
      <c r="F34" s="4">
        <v>8.1199999999999994E-2</v>
      </c>
      <c r="G34" s="4"/>
      <c r="H34" s="4"/>
      <c r="I34" s="4"/>
    </row>
    <row r="35" spans="1:9" ht="15.75" thickBot="1" x14ac:dyDescent="0.2">
      <c r="A35" t="s">
        <v>56</v>
      </c>
      <c r="B35" s="2"/>
      <c r="C35" s="4"/>
      <c r="D35" s="4"/>
      <c r="E35" s="4"/>
      <c r="F35" s="4"/>
      <c r="G35" s="4"/>
      <c r="H35" s="4"/>
      <c r="I35" s="4"/>
    </row>
    <row r="36" spans="1:9" ht="15.75" thickBot="1" x14ac:dyDescent="0.2">
      <c r="A36" t="s">
        <v>37</v>
      </c>
      <c r="B36" s="12"/>
      <c r="C36" s="4"/>
      <c r="D36" s="4"/>
      <c r="E36" s="4"/>
      <c r="F36" s="4">
        <v>0.02</v>
      </c>
      <c r="G36" s="4"/>
      <c r="H36" s="4"/>
      <c r="I36" s="4"/>
    </row>
    <row r="37" spans="1:9" ht="15.75" thickBot="1" x14ac:dyDescent="0.2">
      <c r="A37" t="s">
        <v>43</v>
      </c>
      <c r="I37" s="4">
        <v>3.1899999999999998E-2</v>
      </c>
    </row>
    <row r="38" spans="1:9" x14ac:dyDescent="0.15">
      <c r="A38" t="s">
        <v>57</v>
      </c>
    </row>
    <row r="39" spans="1:9" x14ac:dyDescent="0.15">
      <c r="A39" t="s">
        <v>58</v>
      </c>
    </row>
    <row r="40" spans="1:9" x14ac:dyDescent="0.15">
      <c r="A40" t="s">
        <v>59</v>
      </c>
    </row>
    <row r="41" spans="1:9" x14ac:dyDescent="0.15">
      <c r="B41" s="3">
        <f>SUM(B3:B40)</f>
        <v>1</v>
      </c>
      <c r="C41" s="3">
        <f t="shared" ref="C41:I41" si="0">SUM(C3:C40)</f>
        <v>1</v>
      </c>
      <c r="D41" s="3">
        <f t="shared" si="0"/>
        <v>1</v>
      </c>
      <c r="E41" s="3">
        <f t="shared" si="0"/>
        <v>1</v>
      </c>
      <c r="F41" s="3">
        <f t="shared" si="0"/>
        <v>1</v>
      </c>
      <c r="G41" s="3">
        <f t="shared" si="0"/>
        <v>1</v>
      </c>
      <c r="H41" s="3">
        <f t="shared" si="0"/>
        <v>1</v>
      </c>
      <c r="I41" s="3">
        <f t="shared" si="0"/>
        <v>1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A3" sqref="A3:I22"/>
    </sheetView>
  </sheetViews>
  <sheetFormatPr defaultRowHeight="13.5" x14ac:dyDescent="0.15"/>
  <cols>
    <col min="3" max="3" width="9.75" bestFit="1" customWidth="1"/>
  </cols>
  <sheetData>
    <row r="1" spans="1:9" ht="15.75" thickBot="1" x14ac:dyDescent="0.2">
      <c r="A1" s="13" t="s">
        <v>40</v>
      </c>
      <c r="B1" s="14"/>
      <c r="C1" s="14"/>
      <c r="D1" s="14"/>
      <c r="E1" s="14"/>
      <c r="F1" s="14"/>
      <c r="G1" s="14"/>
      <c r="H1" s="14"/>
      <c r="I1" s="15"/>
    </row>
    <row r="2" spans="1:9" ht="30.75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 thickBot="1" x14ac:dyDescent="0.2">
      <c r="A3" t="s">
        <v>11</v>
      </c>
      <c r="B3" s="4">
        <v>0.17860000000000001</v>
      </c>
      <c r="C3" s="4">
        <f>VLOOKUP($A3,Sheet3!C$2:D$10,2,FALSE)</f>
        <v>0.18940000000000001</v>
      </c>
      <c r="D3" s="4" t="e">
        <f>VLOOKUP($A3,Sheet3!G$2:H$6,2,FALSE)</f>
        <v>#N/A</v>
      </c>
      <c r="E3" s="4">
        <f>VLOOKUP($A3,Sheet3!I$2:J$5,2,FALSE)</f>
        <v>0.25</v>
      </c>
      <c r="F3" s="4" t="e">
        <f>VLOOKUP($A3,Sheet3!E$2:F$6,2,FALSE)</f>
        <v>#N/A</v>
      </c>
      <c r="G3" s="4" t="e">
        <f>VLOOKUP($A3,Sheet3!K$2:L$17,2,FALSE)</f>
        <v>#N/A</v>
      </c>
      <c r="H3" s="4" t="e">
        <f>VLOOKUP($A3,Sheet3!M$2:N$17,2,FALSE)</f>
        <v>#N/A</v>
      </c>
      <c r="I3" s="4" t="e">
        <f>VLOOKUP($A3,Sheet3!O$2:P$17,2,FALSE)</f>
        <v>#N/A</v>
      </c>
    </row>
    <row r="4" spans="1:9" ht="15.75" thickBot="1" x14ac:dyDescent="0.2">
      <c r="A4" t="s">
        <v>60</v>
      </c>
      <c r="B4" s="4">
        <v>0.10929999999999999</v>
      </c>
      <c r="C4" s="4">
        <f>VLOOKUP($A4,Sheet3!C$2:D$10,2,FALSE)</f>
        <v>0.12659999999999999</v>
      </c>
      <c r="D4" s="4">
        <f>VLOOKUP($A4,Sheet3!G$2:H$6,2,FALSE)</f>
        <v>0.25</v>
      </c>
      <c r="E4" s="4" t="e">
        <f>VLOOKUP($A4,Sheet3!I$2:J$5,2,FALSE)</f>
        <v>#N/A</v>
      </c>
      <c r="F4" s="4" t="e">
        <f>VLOOKUP($A4,Sheet3!E$2:F$6,2,FALSE)</f>
        <v>#N/A</v>
      </c>
      <c r="G4" s="4" t="e">
        <f>VLOOKUP($A4,Sheet3!K$2:L$17,2,FALSE)</f>
        <v>#N/A</v>
      </c>
      <c r="H4" s="4">
        <f>VLOOKUP($A4,Sheet3!M$2:N$17,2,FALSE)</f>
        <v>0.3755</v>
      </c>
      <c r="I4" s="4" t="e">
        <f>VLOOKUP($A4,Sheet3!O$2:P$17,2,FALSE)</f>
        <v>#N/A</v>
      </c>
    </row>
    <row r="5" spans="1:9" ht="15.75" thickBot="1" x14ac:dyDescent="0.2">
      <c r="A5" t="s">
        <v>12</v>
      </c>
      <c r="B5" s="4">
        <v>8.8499999999999995E-2</v>
      </c>
      <c r="C5" s="4">
        <f>VLOOKUP($A5,Sheet3!C$2:D$10,2,FALSE)</f>
        <v>0.1016</v>
      </c>
      <c r="D5" s="4">
        <f>VLOOKUP($A5,Sheet3!G$2:H$6,2,FALSE)</f>
        <v>0.2293</v>
      </c>
      <c r="E5" s="4" t="e">
        <f>VLOOKUP($A5,Sheet3!I$2:J$5,2,FALSE)</f>
        <v>#N/A</v>
      </c>
      <c r="F5" s="4" t="e">
        <f>VLOOKUP($A5,Sheet3!E$2:F$6,2,FALSE)</f>
        <v>#N/A</v>
      </c>
      <c r="G5" s="4" t="e">
        <f>VLOOKUP($A5,Sheet3!K$2:L$17,2,FALSE)</f>
        <v>#N/A</v>
      </c>
      <c r="H5" s="4">
        <f>VLOOKUP($A5,Sheet3!M$2:N$17,2,FALSE)</f>
        <v>0.3009</v>
      </c>
      <c r="I5" s="4" t="e">
        <f>VLOOKUP($A5,Sheet3!O$2:P$17,2,FALSE)</f>
        <v>#N/A</v>
      </c>
    </row>
    <row r="6" spans="1:9" ht="15.75" thickBot="1" x14ac:dyDescent="0.2">
      <c r="A6" t="s">
        <v>10</v>
      </c>
      <c r="B6" s="4">
        <v>8.09E-2</v>
      </c>
      <c r="C6" s="4">
        <f>VLOOKUP($A6,Sheet3!C$2:D$10,2,FALSE)</f>
        <v>9.2799999999999994E-2</v>
      </c>
      <c r="D6" s="4">
        <f>VLOOKUP($A6,Sheet3!G$2:H$6,2,FALSE)</f>
        <v>0.20949999999999999</v>
      </c>
      <c r="E6" s="4" t="e">
        <f>VLOOKUP($A6,Sheet3!I$2:J$5,2,FALSE)</f>
        <v>#N/A</v>
      </c>
      <c r="F6" s="4" t="e">
        <f>VLOOKUP($A6,Sheet3!E$2:F$6,2,FALSE)</f>
        <v>#N/A</v>
      </c>
      <c r="G6" s="4" t="e">
        <f>VLOOKUP($A6,Sheet3!K$2:L$17,2,FALSE)</f>
        <v>#N/A</v>
      </c>
      <c r="H6" s="4" t="e">
        <f>VLOOKUP($A6,Sheet3!M$2:N$17,2,FALSE)</f>
        <v>#N/A</v>
      </c>
      <c r="I6" s="4">
        <f>VLOOKUP($A6,Sheet3!O$2:P$17,2,FALSE)</f>
        <v>0.38940000000000002</v>
      </c>
    </row>
    <row r="7" spans="1:9" ht="15.75" thickBot="1" x14ac:dyDescent="0.2">
      <c r="A7" t="s">
        <v>19</v>
      </c>
      <c r="B7" s="4">
        <v>0.05</v>
      </c>
      <c r="C7" s="4">
        <f>VLOOKUP($A7,Sheet3!C$2:D$10,2,FALSE)</f>
        <v>6.0999999999999999E-2</v>
      </c>
      <c r="D7" s="4">
        <f>VLOOKUP($A7,Sheet3!G$2:H$6,2,FALSE)</f>
        <v>0.1258</v>
      </c>
      <c r="E7" s="4" t="e">
        <f>VLOOKUP($A7,Sheet3!I$2:J$5,2,FALSE)</f>
        <v>#N/A</v>
      </c>
      <c r="F7" s="4" t="e">
        <f>VLOOKUP($A7,Sheet3!E$2:F$6,2,FALSE)</f>
        <v>#N/A</v>
      </c>
      <c r="G7" s="4" t="e">
        <f>VLOOKUP($A7,Sheet3!K$2:L$17,2,FALSE)</f>
        <v>#N/A</v>
      </c>
      <c r="H7" s="4" t="e">
        <f>VLOOKUP($A7,Sheet3!M$2:N$17,2,FALSE)</f>
        <v>#N/A</v>
      </c>
      <c r="I7" s="4">
        <f>VLOOKUP($A7,Sheet3!O$2:P$17,2,FALSE)</f>
        <v>0.23419999999999999</v>
      </c>
    </row>
    <row r="8" spans="1:9" ht="15.75" thickBot="1" x14ac:dyDescent="0.2">
      <c r="A8" t="s">
        <v>14</v>
      </c>
      <c r="B8" s="4">
        <v>4.4200000000000003E-2</v>
      </c>
      <c r="C8" s="4">
        <f>VLOOKUP($A8,Sheet3!C$2:D$10,2,FALSE)</f>
        <v>5.4100000000000002E-2</v>
      </c>
      <c r="D8" s="4" t="e">
        <f>VLOOKUP($A8,Sheet3!G$2:H$6,2,FALSE)</f>
        <v>#N/A</v>
      </c>
      <c r="E8" s="4">
        <f>VLOOKUP($A8,Sheet3!I$2:J$5,2,FALSE)</f>
        <v>0.1084</v>
      </c>
      <c r="F8" s="4" t="e">
        <f>VLOOKUP($A8,Sheet3!E$2:F$6,2,FALSE)</f>
        <v>#N/A</v>
      </c>
      <c r="G8" s="4" t="e">
        <f>VLOOKUP($A8,Sheet3!K$2:L$17,2,FALSE)</f>
        <v>#N/A</v>
      </c>
      <c r="H8" s="4" t="e">
        <f>VLOOKUP($A8,Sheet3!M$2:N$17,2,FALSE)</f>
        <v>#N/A</v>
      </c>
      <c r="I8" s="4" t="e">
        <f>VLOOKUP($A8,Sheet3!O$2:P$17,2,FALSE)</f>
        <v>#N/A</v>
      </c>
    </row>
    <row r="9" spans="1:9" ht="15.75" thickBot="1" x14ac:dyDescent="0.2">
      <c r="A9" t="s">
        <v>13</v>
      </c>
      <c r="B9" s="4">
        <v>6.7299999999999999E-2</v>
      </c>
      <c r="C9" s="4">
        <f>VLOOKUP($A9,Sheet3!C$2:D$10,2,FALSE)</f>
        <v>7.3700000000000002E-2</v>
      </c>
      <c r="D9" s="4" t="e">
        <f>VLOOKUP($A9,Sheet3!G$2:H$6,2,FALSE)</f>
        <v>#N/A</v>
      </c>
      <c r="E9" s="4">
        <f>VLOOKUP($A9,Sheet3!I$2:J$5,2,FALSE)</f>
        <v>0.12230000000000001</v>
      </c>
      <c r="F9" s="4" t="e">
        <f>VLOOKUP($A9,Sheet3!E$2:F$6,2,FALSE)</f>
        <v>#N/A</v>
      </c>
      <c r="G9" s="4" t="e">
        <f>VLOOKUP($A9,Sheet3!K$2:L$17,2,FALSE)</f>
        <v>#N/A</v>
      </c>
      <c r="H9" s="4">
        <f>VLOOKUP($A9,Sheet3!M$2:N$17,2,FALSE)</f>
        <v>0.2162</v>
      </c>
      <c r="I9" s="4" t="e">
        <f>VLOOKUP($A9,Sheet3!O$2:P$17,2,FALSE)</f>
        <v>#N/A</v>
      </c>
    </row>
    <row r="10" spans="1:9" ht="15.75" thickBot="1" x14ac:dyDescent="0.2">
      <c r="A10" t="s">
        <v>16</v>
      </c>
      <c r="B10" s="4">
        <v>4.5100000000000001E-2</v>
      </c>
      <c r="C10" s="4" t="e">
        <f>VLOOKUP($A10,Sheet3!C$2:D$10,2,FALSE)</f>
        <v>#N/A</v>
      </c>
      <c r="D10" s="4" t="e">
        <f>VLOOKUP($A10,Sheet3!G$2:H$6,2,FALSE)</f>
        <v>#N/A</v>
      </c>
      <c r="E10" s="4" t="e">
        <f>VLOOKUP($A10,Sheet3!I$2:J$5,2,FALSE)</f>
        <v>#N/A</v>
      </c>
      <c r="F10" s="4" t="e">
        <f>VLOOKUP($A10,Sheet3!E$2:F$6,2,FALSE)</f>
        <v>#N/A</v>
      </c>
      <c r="G10" s="4">
        <f>VLOOKUP($A10,Sheet3!K$2:L$17,2,FALSE)</f>
        <v>0.59350000000000003</v>
      </c>
      <c r="H10" s="4" t="e">
        <f>VLOOKUP($A10,Sheet3!M$2:N$17,2,FALSE)</f>
        <v>#N/A</v>
      </c>
      <c r="I10" s="4" t="e">
        <f>VLOOKUP($A10,Sheet3!O$2:P$17,2,FALSE)</f>
        <v>#N/A</v>
      </c>
    </row>
    <row r="11" spans="1:9" ht="15.75" thickBot="1" x14ac:dyDescent="0.2">
      <c r="A11" t="s">
        <v>15</v>
      </c>
      <c r="B11" s="4">
        <v>4.0099999999999997E-2</v>
      </c>
      <c r="C11" s="4" t="e">
        <f>VLOOKUP($A11,Sheet3!C$2:D$10,2,FALSE)</f>
        <v>#N/A</v>
      </c>
      <c r="D11" s="4" t="e">
        <f>VLOOKUP($A11,Sheet3!G$2:H$6,2,FALSE)</f>
        <v>#N/A</v>
      </c>
      <c r="E11" s="4" t="e">
        <f>VLOOKUP($A11,Sheet3!I$2:J$5,2,FALSE)</f>
        <v>#N/A</v>
      </c>
      <c r="F11" s="4">
        <f>VLOOKUP($A11,Sheet3!E$2:F$6,2,FALSE)</f>
        <v>0.15959999999999999</v>
      </c>
      <c r="G11" s="4" t="e">
        <f>VLOOKUP($A11,Sheet3!K$2:L$17,2,FALSE)</f>
        <v>#N/A</v>
      </c>
      <c r="H11" s="4" t="e">
        <f>VLOOKUP($A11,Sheet3!M$2:N$17,2,FALSE)</f>
        <v>#N/A</v>
      </c>
      <c r="I11" s="4" t="e">
        <f>VLOOKUP($A11,Sheet3!O$2:P$17,2,FALSE)</f>
        <v>#N/A</v>
      </c>
    </row>
    <row r="12" spans="1:9" ht="15.75" thickBot="1" x14ac:dyDescent="0.2">
      <c r="A12" t="s">
        <v>23</v>
      </c>
      <c r="B12" s="4">
        <v>3.7100000000000001E-2</v>
      </c>
      <c r="C12" s="4">
        <f>VLOOKUP($A12,Sheet3!C$2:D$10,2,FALSE)</f>
        <v>4.4299999999999999E-2</v>
      </c>
      <c r="D12" s="4">
        <f>VLOOKUP($A12,Sheet3!G$2:H$6,2,FALSE)</f>
        <v>9.4100000000000003E-2</v>
      </c>
      <c r="E12" s="4" t="e">
        <f>VLOOKUP($A12,Sheet3!I$2:J$5,2,FALSE)</f>
        <v>#N/A</v>
      </c>
      <c r="F12" s="4" t="e">
        <f>VLOOKUP($A12,Sheet3!E$2:F$6,2,FALSE)</f>
        <v>#N/A</v>
      </c>
      <c r="G12" s="4" t="e">
        <f>VLOOKUP($A12,Sheet3!K$2:L$17,2,FALSE)</f>
        <v>#N/A</v>
      </c>
      <c r="H12" s="4" t="e">
        <f>VLOOKUP($A12,Sheet3!M$2:N$17,2,FALSE)</f>
        <v>#N/A</v>
      </c>
      <c r="I12" s="4">
        <f>VLOOKUP($A12,Sheet3!O$2:P$17,2,FALSE)</f>
        <v>0.17519999999999999</v>
      </c>
    </row>
    <row r="13" spans="1:9" ht="15.75" thickBot="1" x14ac:dyDescent="0.2">
      <c r="A13" t="s">
        <v>38</v>
      </c>
      <c r="B13" s="4">
        <v>4.2200000000000001E-2</v>
      </c>
      <c r="C13" s="4" t="e">
        <f>VLOOKUP($A13,Sheet3!C$2:D$10,2,FALSE)</f>
        <v>#N/A</v>
      </c>
      <c r="D13" s="4" t="e">
        <f>VLOOKUP($A13,Sheet3!G$2:H$6,2,FALSE)</f>
        <v>#N/A</v>
      </c>
      <c r="E13" s="4" t="e">
        <f>VLOOKUP($A13,Sheet3!I$2:J$5,2,FALSE)</f>
        <v>#N/A</v>
      </c>
      <c r="F13" s="4">
        <f>VLOOKUP($A13,Sheet3!E$2:F$6,2,FALSE)</f>
        <v>0.16389999999999999</v>
      </c>
      <c r="G13" s="4" t="e">
        <f>VLOOKUP($A13,Sheet3!K$2:L$17,2,FALSE)</f>
        <v>#N/A</v>
      </c>
      <c r="H13" s="4" t="e">
        <f>VLOOKUP($A13,Sheet3!M$2:N$17,2,FALSE)</f>
        <v>#N/A</v>
      </c>
      <c r="I13" s="4" t="e">
        <f>VLOOKUP($A13,Sheet3!O$2:P$17,2,FALSE)</f>
        <v>#N/A</v>
      </c>
    </row>
    <row r="14" spans="1:9" ht="15.75" thickBot="1" x14ac:dyDescent="0.2">
      <c r="A14" t="s">
        <v>20</v>
      </c>
      <c r="B14" s="4">
        <v>2.7900000000000001E-2</v>
      </c>
      <c r="C14" s="4" t="e">
        <f>VLOOKUP($A14,Sheet3!C$2:D$10,2,FALSE)</f>
        <v>#N/A</v>
      </c>
      <c r="D14" s="4" t="e">
        <f>VLOOKUP($A14,Sheet3!G$2:H$6,2,FALSE)</f>
        <v>#N/A</v>
      </c>
      <c r="E14" s="4" t="e">
        <f>VLOOKUP($A14,Sheet3!I$2:J$5,2,FALSE)</f>
        <v>#N/A</v>
      </c>
      <c r="F14" s="4">
        <f>VLOOKUP($A14,Sheet3!E$2:F$6,2,FALSE)</f>
        <v>0.1125</v>
      </c>
      <c r="G14" s="4" t="e">
        <f>VLOOKUP($A14,Sheet3!K$2:L$17,2,FALSE)</f>
        <v>#N/A</v>
      </c>
      <c r="H14" s="4" t="e">
        <f>VLOOKUP($A14,Sheet3!M$2:N$17,2,FALSE)</f>
        <v>#N/A</v>
      </c>
      <c r="I14" s="4" t="e">
        <f>VLOOKUP($A14,Sheet3!O$2:P$17,2,FALSE)</f>
        <v>#N/A</v>
      </c>
    </row>
    <row r="15" spans="1:9" ht="15.75" thickBot="1" x14ac:dyDescent="0.2">
      <c r="A15" t="s">
        <v>24</v>
      </c>
      <c r="B15" s="4">
        <v>3.2500000000000001E-2</v>
      </c>
      <c r="C15" s="4">
        <f>VLOOKUP($A15,Sheet3!C$2:D$10,2,FALSE)</f>
        <v>3.7699999999999997E-2</v>
      </c>
      <c r="D15" s="4" t="e">
        <f>VLOOKUP($A15,Sheet3!G$2:H$6,2,FALSE)</f>
        <v>#N/A</v>
      </c>
      <c r="E15" s="4" t="e">
        <f>VLOOKUP($A15,Sheet3!I$2:J$5,2,FALSE)</f>
        <v>#N/A</v>
      </c>
      <c r="F15" s="4" t="e">
        <f>VLOOKUP($A15,Sheet3!E$2:F$6,2,FALSE)</f>
        <v>#N/A</v>
      </c>
      <c r="G15" s="4" t="e">
        <f>VLOOKUP($A15,Sheet3!K$2:L$17,2,FALSE)</f>
        <v>#N/A</v>
      </c>
      <c r="H15" s="4" t="e">
        <f>VLOOKUP($A15,Sheet3!M$2:N$17,2,FALSE)</f>
        <v>#N/A</v>
      </c>
      <c r="I15" s="4" t="e">
        <f>VLOOKUP($A15,Sheet3!O$2:P$17,2,FALSE)</f>
        <v>#N/A</v>
      </c>
    </row>
    <row r="16" spans="1:9" ht="15.75" thickBot="1" x14ac:dyDescent="0.2">
      <c r="A16" t="s">
        <v>17</v>
      </c>
      <c r="B16" s="4">
        <v>2.5999999999999999E-2</v>
      </c>
      <c r="C16" s="4" t="e">
        <f>VLOOKUP($A16,Sheet3!C$2:D$10,2,FALSE)</f>
        <v>#N/A</v>
      </c>
      <c r="D16" s="4" t="e">
        <f>VLOOKUP($A16,Sheet3!G$2:H$6,2,FALSE)</f>
        <v>#N/A</v>
      </c>
      <c r="E16" s="4" t="e">
        <f>VLOOKUP($A16,Sheet3!I$2:J$5,2,FALSE)</f>
        <v>#N/A</v>
      </c>
      <c r="F16" s="4" t="e">
        <f>VLOOKUP($A16,Sheet3!E$2:F$6,2,FALSE)</f>
        <v>#N/A</v>
      </c>
      <c r="G16" s="4">
        <f>VLOOKUP($A16,Sheet3!K$2:L$17,2,FALSE)</f>
        <v>0.40649999999999997</v>
      </c>
      <c r="H16" s="4" t="e">
        <f>VLOOKUP($A16,Sheet3!M$2:N$17,2,FALSE)</f>
        <v>#N/A</v>
      </c>
      <c r="I16" s="4" t="e">
        <f>VLOOKUP($A16,Sheet3!O$2:P$17,2,FALSE)</f>
        <v>#N/A</v>
      </c>
    </row>
    <row r="17" spans="1:9" ht="15.75" thickBot="1" x14ac:dyDescent="0.2">
      <c r="A17" t="s">
        <v>25</v>
      </c>
      <c r="B17" s="4">
        <v>2.23E-2</v>
      </c>
      <c r="C17" s="4" t="e">
        <f>VLOOKUP($A17,Sheet3!C$2:D$10,2,FALSE)</f>
        <v>#N/A</v>
      </c>
      <c r="D17" s="4" t="e">
        <f>VLOOKUP($A17,Sheet3!G$2:H$6,2,FALSE)</f>
        <v>#N/A</v>
      </c>
      <c r="E17" s="4" t="e">
        <f>VLOOKUP($A17,Sheet3!I$2:J$5,2,FALSE)</f>
        <v>#N/A</v>
      </c>
      <c r="F17" s="4" t="e">
        <f>VLOOKUP($A17,Sheet3!E$2:F$6,2,FALSE)</f>
        <v>#N/A</v>
      </c>
      <c r="G17" s="4" t="e">
        <f>VLOOKUP($A17,Sheet3!K$2:L$17,2,FALSE)</f>
        <v>#N/A</v>
      </c>
      <c r="H17" s="4" t="e">
        <f>VLOOKUP($A17,Sheet3!M$2:N$17,2,FALSE)</f>
        <v>#N/A</v>
      </c>
      <c r="I17" s="4" t="e">
        <f>VLOOKUP($A17,Sheet3!O$2:P$17,2,FALSE)</f>
        <v>#N/A</v>
      </c>
    </row>
    <row r="18" spans="1:9" ht="15.75" thickBot="1" x14ac:dyDescent="0.2">
      <c r="A18" t="s">
        <v>22</v>
      </c>
      <c r="B18" s="4">
        <v>2.3400000000000001E-2</v>
      </c>
      <c r="C18" s="4" t="e">
        <f>VLOOKUP($A18,Sheet3!C$2:D$10,2,FALSE)</f>
        <v>#N/A</v>
      </c>
      <c r="D18" s="4" t="e">
        <f>VLOOKUP($A18,Sheet3!G$2:H$6,2,FALSE)</f>
        <v>#N/A</v>
      </c>
      <c r="E18" s="4" t="e">
        <f>VLOOKUP($A18,Sheet3!I$2:J$5,2,FALSE)</f>
        <v>#N/A</v>
      </c>
      <c r="F18" s="4">
        <f>VLOOKUP($A18,Sheet3!E$2:F$6,2,FALSE)</f>
        <v>9.3399999999999997E-2</v>
      </c>
      <c r="G18" s="4" t="e">
        <f>VLOOKUP($A18,Sheet3!K$2:L$17,2,FALSE)</f>
        <v>#N/A</v>
      </c>
      <c r="H18" s="4" t="e">
        <f>VLOOKUP($A18,Sheet3!M$2:N$17,2,FALSE)</f>
        <v>#N/A</v>
      </c>
      <c r="I18" s="4" t="e">
        <f>VLOOKUP($A18,Sheet3!O$2:P$17,2,FALSE)</f>
        <v>#N/A</v>
      </c>
    </row>
    <row r="19" spans="1:9" ht="15.75" thickBot="1" x14ac:dyDescent="0.2">
      <c r="A19" t="s">
        <v>27</v>
      </c>
      <c r="B19" s="4">
        <v>2.4E-2</v>
      </c>
      <c r="C19" s="4" t="e">
        <f>VLOOKUP($A19,Sheet3!C$2:D$10,2,FALSE)</f>
        <v>#N/A</v>
      </c>
      <c r="D19" s="4" t="e">
        <f>VLOOKUP($A19,Sheet3!G$2:H$6,2,FALSE)</f>
        <v>#N/A</v>
      </c>
      <c r="E19" s="4" t="e">
        <f>VLOOKUP($A19,Sheet3!I$2:J$5,2,FALSE)</f>
        <v>#N/A</v>
      </c>
      <c r="F19" s="4" t="e">
        <f>VLOOKUP($A19,Sheet3!E$2:F$6,2,FALSE)</f>
        <v>#N/A</v>
      </c>
      <c r="G19" s="4" t="e">
        <f>VLOOKUP($A19,Sheet3!K$2:L$17,2,FALSE)</f>
        <v>#N/A</v>
      </c>
      <c r="H19" s="4" t="e">
        <f>VLOOKUP($A19,Sheet3!M$2:N$17,2,FALSE)</f>
        <v>#N/A</v>
      </c>
      <c r="I19" s="4" t="e">
        <f>VLOOKUP($A19,Sheet3!O$2:P$17,2,FALSE)</f>
        <v>#N/A</v>
      </c>
    </row>
    <row r="20" spans="1:9" ht="15.75" thickBot="1" x14ac:dyDescent="0.2">
      <c r="A20" t="s">
        <v>42</v>
      </c>
      <c r="B20" s="4">
        <v>0.02</v>
      </c>
      <c r="C20" s="4" t="e">
        <f>VLOOKUP($A20,Sheet3!C$2:D$10,2,FALSE)</f>
        <v>#N/A</v>
      </c>
      <c r="D20" s="4" t="e">
        <f>VLOOKUP($A20,Sheet3!G$2:H$6,2,FALSE)</f>
        <v>#N/A</v>
      </c>
      <c r="E20" s="4" t="e">
        <f>VLOOKUP($A20,Sheet3!I$2:J$5,2,FALSE)</f>
        <v>#N/A</v>
      </c>
      <c r="F20" s="4" t="e">
        <f>VLOOKUP($A20,Sheet3!E$2:F$6,2,FALSE)</f>
        <v>#N/A</v>
      </c>
      <c r="G20" s="4" t="e">
        <f>VLOOKUP($A20,Sheet3!K$2:L$17,2,FALSE)</f>
        <v>#N/A</v>
      </c>
      <c r="H20" s="4" t="e">
        <f>VLOOKUP($A20,Sheet3!M$2:N$17,2,FALSE)</f>
        <v>#N/A</v>
      </c>
      <c r="I20" s="4" t="e">
        <f>VLOOKUP($A20,Sheet3!O$2:P$17,2,FALSE)</f>
        <v>#N/A</v>
      </c>
    </row>
    <row r="21" spans="1:9" ht="15.75" thickBot="1" x14ac:dyDescent="0.2">
      <c r="A21" t="s">
        <v>28</v>
      </c>
      <c r="B21" s="4">
        <v>2.06E-2</v>
      </c>
      <c r="C21" s="4" t="e">
        <f>VLOOKUP($A21,Sheet3!C$2:D$10,2,FALSE)</f>
        <v>#N/A</v>
      </c>
      <c r="D21" s="4" t="e">
        <f>VLOOKUP($A21,Sheet3!G$2:H$6,2,FALSE)</f>
        <v>#N/A</v>
      </c>
      <c r="E21" s="4" t="e">
        <f>VLOOKUP($A21,Sheet3!I$2:J$5,2,FALSE)</f>
        <v>#N/A</v>
      </c>
      <c r="F21" s="4" t="e">
        <f>VLOOKUP($A21,Sheet3!E$2:F$6,2,FALSE)</f>
        <v>#N/A</v>
      </c>
      <c r="G21" s="4" t="e">
        <f>VLOOKUP($A21,Sheet3!K$2:L$17,2,FALSE)</f>
        <v>#N/A</v>
      </c>
      <c r="H21" s="4" t="e">
        <f>VLOOKUP($A21,Sheet3!M$2:N$17,2,FALSE)</f>
        <v>#N/A</v>
      </c>
      <c r="I21" s="4" t="e">
        <f>VLOOKUP($A21,Sheet3!O$2:P$17,2,FALSE)</f>
        <v>#N/A</v>
      </c>
    </row>
    <row r="22" spans="1:9" ht="15.75" thickBot="1" x14ac:dyDescent="0.2">
      <c r="A22" t="s">
        <v>54</v>
      </c>
      <c r="B22" s="4">
        <v>0.02</v>
      </c>
      <c r="C22" s="4" t="e">
        <f>VLOOKUP($A22,Sheet3!C$2:D$10,2,FALSE)</f>
        <v>#N/A</v>
      </c>
      <c r="D22" s="4" t="e">
        <f>VLOOKUP($A22,Sheet3!G$2:H$6,2,FALSE)</f>
        <v>#N/A</v>
      </c>
      <c r="E22" s="4" t="e">
        <f>VLOOKUP($A22,Sheet3!I$2:J$5,2,FALSE)</f>
        <v>#N/A</v>
      </c>
      <c r="F22" s="4" t="e">
        <f>VLOOKUP($A22,Sheet3!E$2:F$6,2,FALSE)</f>
        <v>#N/A</v>
      </c>
      <c r="G22" s="4" t="e">
        <f>VLOOKUP($A22,Sheet3!K$2:L$17,2,FALSE)</f>
        <v>#N/A</v>
      </c>
      <c r="H22" s="4" t="e">
        <f>VLOOKUP($A22,Sheet3!M$2:N$17,2,FALSE)</f>
        <v>#N/A</v>
      </c>
      <c r="I22" s="4" t="e">
        <f>VLOOKUP($A22,Sheet3!O$2:P$17,2,FALSE)</f>
        <v>#N/A</v>
      </c>
    </row>
    <row r="23" spans="1:9" ht="15.75" thickBot="1" x14ac:dyDescent="0.2">
      <c r="A23" t="s">
        <v>26</v>
      </c>
      <c r="B23" s="2"/>
      <c r="C23" s="4" t="e">
        <f>VLOOKUP($A23,Sheet3!C$2:D$10,2,FALSE)</f>
        <v>#N/A</v>
      </c>
      <c r="D23" s="4" t="e">
        <f>VLOOKUP($A23,Sheet3!G$2:H$6,2,FALSE)</f>
        <v>#N/A</v>
      </c>
      <c r="E23" s="4" t="e">
        <f>VLOOKUP($A23,Sheet3!I$2:J$5,2,FALSE)</f>
        <v>#N/A</v>
      </c>
      <c r="F23" s="4" t="e">
        <f>VLOOKUP($A23,Sheet3!E$2:F$6,2,FALSE)</f>
        <v>#N/A</v>
      </c>
      <c r="G23" s="4" t="e">
        <f>VLOOKUP($A23,Sheet3!K$2:L$17,2,FALSE)</f>
        <v>#N/A</v>
      </c>
      <c r="H23" s="4" t="e">
        <f>VLOOKUP($A23,Sheet3!M$2:N$17,2,FALSE)</f>
        <v>#N/A</v>
      </c>
      <c r="I23" s="4" t="e">
        <f>VLOOKUP($A23,Sheet3!O$2:P$17,2,FALSE)</f>
        <v>#N/A</v>
      </c>
    </row>
    <row r="24" spans="1:9" ht="15.75" thickBot="1" x14ac:dyDescent="0.2">
      <c r="A24" t="s">
        <v>21</v>
      </c>
      <c r="B24" s="2"/>
      <c r="C24" s="4" t="e">
        <f>VLOOKUP($A24,Sheet3!C$2:D$10,2,FALSE)</f>
        <v>#N/A</v>
      </c>
      <c r="D24" s="4" t="e">
        <f>VLOOKUP($A24,Sheet3!G$2:H$6,2,FALSE)</f>
        <v>#N/A</v>
      </c>
      <c r="E24" s="4" t="e">
        <f>VLOOKUP($A24,Sheet3!I$2:J$5,2,FALSE)</f>
        <v>#N/A</v>
      </c>
      <c r="F24" s="4" t="e">
        <f>VLOOKUP($A24,Sheet3!E$2:F$6,2,FALSE)</f>
        <v>#N/A</v>
      </c>
      <c r="G24" s="4" t="e">
        <f>VLOOKUP($A24,Sheet3!K$2:L$17,2,FALSE)</f>
        <v>#N/A</v>
      </c>
      <c r="H24" s="4" t="e">
        <f>VLOOKUP($A24,Sheet3!M$2:N$17,2,FALSE)</f>
        <v>#N/A</v>
      </c>
      <c r="I24" s="4" t="e">
        <f>VLOOKUP($A24,Sheet3!O$2:P$17,2,FALSE)</f>
        <v>#N/A</v>
      </c>
    </row>
    <row r="25" spans="1:9" ht="15.75" thickBot="1" x14ac:dyDescent="0.2">
      <c r="A25" t="s">
        <v>30</v>
      </c>
      <c r="B25" s="2"/>
      <c r="C25" s="4" t="e">
        <f>VLOOKUP($A25,Sheet3!C$2:D$10,2,FALSE)</f>
        <v>#N/A</v>
      </c>
      <c r="D25" s="4" t="e">
        <f>VLOOKUP($A25,Sheet3!G$2:H$6,2,FALSE)</f>
        <v>#N/A</v>
      </c>
      <c r="E25" s="4" t="e">
        <f>VLOOKUP($A25,Sheet3!I$2:J$5,2,FALSE)</f>
        <v>#N/A</v>
      </c>
      <c r="F25" s="4" t="e">
        <f>VLOOKUP($A25,Sheet3!E$2:F$6,2,FALSE)</f>
        <v>#N/A</v>
      </c>
      <c r="G25" s="4" t="e">
        <f>VLOOKUP($A25,Sheet3!K$2:L$17,2,FALSE)</f>
        <v>#N/A</v>
      </c>
      <c r="H25" s="4" t="e">
        <f>VLOOKUP($A25,Sheet3!M$2:N$17,2,FALSE)</f>
        <v>#N/A</v>
      </c>
      <c r="I25" s="4">
        <f>VLOOKUP($A25,Sheet3!O$2:P$17,2,FALSE)</f>
        <v>0.16930000000000001</v>
      </c>
    </row>
    <row r="26" spans="1:9" ht="15.75" thickBot="1" x14ac:dyDescent="0.2">
      <c r="A26" t="s">
        <v>31</v>
      </c>
      <c r="B26" s="2"/>
      <c r="C26" s="4" t="e">
        <f>VLOOKUP($A26,Sheet3!C$2:D$10,2,FALSE)</f>
        <v>#N/A</v>
      </c>
      <c r="D26" s="4" t="e">
        <f>VLOOKUP($A26,Sheet3!G$2:H$6,2,FALSE)</f>
        <v>#N/A</v>
      </c>
      <c r="E26" s="4" t="e">
        <f>VLOOKUP($A26,Sheet3!I$2:J$5,2,FALSE)</f>
        <v>#N/A</v>
      </c>
      <c r="F26" s="4" t="e">
        <f>VLOOKUP($A26,Sheet3!E$2:F$6,2,FALSE)</f>
        <v>#N/A</v>
      </c>
      <c r="G26" s="4" t="e">
        <f>VLOOKUP($A26,Sheet3!K$2:L$17,2,FALSE)</f>
        <v>#N/A</v>
      </c>
      <c r="H26" s="4" t="e">
        <f>VLOOKUP($A26,Sheet3!M$2:N$17,2,FALSE)</f>
        <v>#N/A</v>
      </c>
      <c r="I26" s="4" t="e">
        <f>VLOOKUP($A26,Sheet3!O$2:P$17,2,FALSE)</f>
        <v>#N/A</v>
      </c>
    </row>
    <row r="27" spans="1:9" ht="15.75" thickBot="1" x14ac:dyDescent="0.2">
      <c r="A27" t="s">
        <v>35</v>
      </c>
      <c r="B27" s="9"/>
      <c r="C27" s="4" t="e">
        <f>VLOOKUP($A27,Sheet3!C$2:D$10,2,FALSE)</f>
        <v>#N/A</v>
      </c>
      <c r="D27" s="4" t="e">
        <f>VLOOKUP($A27,Sheet3!G$2:H$6,2,FALSE)</f>
        <v>#N/A</v>
      </c>
      <c r="E27" s="4" t="e">
        <f>VLOOKUP($A27,Sheet3!I$2:J$5,2,FALSE)</f>
        <v>#N/A</v>
      </c>
      <c r="F27" s="4" t="e">
        <f>VLOOKUP($A27,Sheet3!E$2:F$6,2,FALSE)</f>
        <v>#N/A</v>
      </c>
      <c r="G27" s="2"/>
      <c r="H27" s="4" t="e">
        <f>VLOOKUP($A27,Sheet3!M$2:N$17,2,FALSE)</f>
        <v>#N/A</v>
      </c>
      <c r="I27" s="4" t="e">
        <f>VLOOKUP($A27,Sheet3!O$2:P$17,2,FALSE)</f>
        <v>#N/A</v>
      </c>
    </row>
    <row r="28" spans="1:9" ht="15.75" thickBot="1" x14ac:dyDescent="0.2">
      <c r="A28" t="s">
        <v>18</v>
      </c>
      <c r="B28" s="9"/>
      <c r="C28" s="4" t="e">
        <f>VLOOKUP($A28,Sheet3!C$2:D$10,2,FALSE)</f>
        <v>#N/A</v>
      </c>
      <c r="D28" s="4" t="e">
        <f>VLOOKUP($A28,Sheet3!G$2:H$6,2,FALSE)</f>
        <v>#N/A</v>
      </c>
      <c r="E28" s="4">
        <f>VLOOKUP($A28,Sheet3!I$2:J$5,2,FALSE)</f>
        <v>0.1133</v>
      </c>
      <c r="F28" s="4" t="e">
        <f>VLOOKUP($A28,Sheet3!E$2:F$6,2,FALSE)</f>
        <v>#N/A</v>
      </c>
      <c r="G28" s="2"/>
      <c r="H28" s="4">
        <f>VLOOKUP($A28,Sheet3!M$2:N$17,2,FALSE)</f>
        <v>0.1074</v>
      </c>
      <c r="I28" s="4" t="e">
        <f>VLOOKUP($A28,Sheet3!O$2:P$17,2,FALSE)</f>
        <v>#N/A</v>
      </c>
    </row>
    <row r="29" spans="1:9" ht="15.75" thickBot="1" x14ac:dyDescent="0.2">
      <c r="A29" t="s">
        <v>32</v>
      </c>
      <c r="B29" s="2"/>
      <c r="C29" s="4" t="e">
        <f>VLOOKUP($A29,Sheet3!C$2:D$10,2,FALSE)</f>
        <v>#N/A</v>
      </c>
      <c r="D29" s="4" t="e">
        <f>VLOOKUP($A29,Sheet3!G$2:H$6,2,FALSE)</f>
        <v>#N/A</v>
      </c>
      <c r="E29" s="4" t="e">
        <f>VLOOKUP($A29,Sheet3!I$2:J$5,2,FALSE)</f>
        <v>#N/A</v>
      </c>
      <c r="F29" s="4" t="e">
        <f>VLOOKUP($A29,Sheet3!E$2:F$6,2,FALSE)</f>
        <v>#N/A</v>
      </c>
      <c r="G29" s="2"/>
      <c r="H29" s="4" t="e">
        <f>VLOOKUP($A29,Sheet3!M$2:N$17,2,FALSE)</f>
        <v>#N/A</v>
      </c>
      <c r="I29" s="4" t="e">
        <f>VLOOKUP($A29,Sheet3!O$2:P$17,2,FALSE)</f>
        <v>#N/A</v>
      </c>
    </row>
    <row r="30" spans="1:9" ht="15.75" thickBot="1" x14ac:dyDescent="0.2">
      <c r="A30" t="s">
        <v>55</v>
      </c>
      <c r="B30" s="2"/>
      <c r="C30" s="4" t="e">
        <f>VLOOKUP($A30,Sheet3!C$2:D$10,2,FALSE)</f>
        <v>#N/A</v>
      </c>
      <c r="D30" s="4" t="e">
        <f>VLOOKUP($A30,Sheet3!G$2:H$6,2,FALSE)</f>
        <v>#N/A</v>
      </c>
      <c r="E30" s="4" t="e">
        <f>VLOOKUP($A30,Sheet3!I$2:J$5,2,FALSE)</f>
        <v>#N/A</v>
      </c>
      <c r="F30" s="4" t="e">
        <f>VLOOKUP($A30,Sheet3!E$2:F$6,2,FALSE)</f>
        <v>#N/A</v>
      </c>
      <c r="G30" s="2"/>
      <c r="H30" s="4" t="e">
        <f>VLOOKUP($A30,Sheet3!M$2:N$17,2,FALSE)</f>
        <v>#N/A</v>
      </c>
      <c r="I30" s="4" t="e">
        <f>VLOOKUP($A30,Sheet3!O$2:P$17,2,FALSE)</f>
        <v>#N/A</v>
      </c>
    </row>
    <row r="31" spans="1:9" ht="15.75" customHeight="1" thickBot="1" x14ac:dyDescent="0.2">
      <c r="A31" t="s">
        <v>34</v>
      </c>
      <c r="B31" s="6"/>
      <c r="C31" s="4" t="e">
        <f>VLOOKUP($A31,Sheet3!C$2:D$10,2,FALSE)</f>
        <v>#N/A</v>
      </c>
      <c r="D31" s="4" t="e">
        <f>VLOOKUP($A31,Sheet3!G$2:H$6,2,FALSE)</f>
        <v>#N/A</v>
      </c>
      <c r="E31" s="4" t="e">
        <f>VLOOKUP($A31,Sheet3!I$2:J$5,2,FALSE)</f>
        <v>#N/A</v>
      </c>
      <c r="F31" s="4">
        <f>VLOOKUP($A31,Sheet3!E$2:F$6,2,FALSE)</f>
        <v>9.4799999999999995E-2</v>
      </c>
      <c r="G31" s="2"/>
      <c r="H31" s="4" t="e">
        <f>VLOOKUP($A31,Sheet3!M$2:N$17,2,FALSE)</f>
        <v>#N/A</v>
      </c>
      <c r="I31" s="2"/>
    </row>
    <row r="32" spans="1:9" ht="15.75" thickBot="1" x14ac:dyDescent="0.2">
      <c r="A32" t="s">
        <v>36</v>
      </c>
      <c r="B32" s="2"/>
      <c r="C32" s="4" t="e">
        <f>VLOOKUP($A32,Sheet3!C$2:D$10,2,FALSE)</f>
        <v>#N/A</v>
      </c>
      <c r="D32" s="4" t="e">
        <f>VLOOKUP($A32,Sheet3!G$2:H$6,2,FALSE)</f>
        <v>#N/A</v>
      </c>
      <c r="E32" s="4" t="e">
        <f>VLOOKUP($A32,Sheet3!I$2:J$5,2,FALSE)</f>
        <v>#N/A</v>
      </c>
      <c r="F32" s="4" t="e">
        <f>VLOOKUP($A32,Sheet3!E$2:F$6,2,FALSE)</f>
        <v>#N/A</v>
      </c>
      <c r="G32" s="2"/>
      <c r="H32" s="4" t="e">
        <f>VLOOKUP($A32,Sheet3!M$2:N$17,2,FALSE)</f>
        <v>#N/A</v>
      </c>
      <c r="I32" s="2"/>
    </row>
    <row r="33" spans="1:9" ht="15.75" thickBot="1" x14ac:dyDescent="0.2">
      <c r="A33" t="s">
        <v>29</v>
      </c>
      <c r="B33" s="2"/>
      <c r="C33" s="4" t="e">
        <f>VLOOKUP($A33,Sheet3!C$2:D$10,2,FALSE)</f>
        <v>#N/A</v>
      </c>
      <c r="D33" s="4" t="e">
        <f>VLOOKUP($A33,Sheet3!G$2:H$6,2,FALSE)</f>
        <v>#N/A</v>
      </c>
      <c r="E33" s="4" t="e">
        <f>VLOOKUP($A33,Sheet3!I$2:J$5,2,FALSE)</f>
        <v>#N/A</v>
      </c>
      <c r="F33" s="4" t="e">
        <f>VLOOKUP($A33,Sheet3!E$2:F$6,2,FALSE)</f>
        <v>#N/A</v>
      </c>
      <c r="G33" s="2"/>
      <c r="H33" s="4" t="e">
        <f>VLOOKUP($A33,Sheet3!M$2:N$17,2,FALSE)</f>
        <v>#N/A</v>
      </c>
      <c r="I33" s="2"/>
    </row>
    <row r="34" spans="1:9" ht="15.75" thickBot="1" x14ac:dyDescent="0.2">
      <c r="A34" t="s">
        <v>33</v>
      </c>
      <c r="B34" s="10"/>
      <c r="C34" s="4" t="e">
        <f>VLOOKUP($A34,Sheet3!C$2:D$10,2,FALSE)</f>
        <v>#N/A</v>
      </c>
      <c r="D34" s="4" t="e">
        <f>VLOOKUP($A34,Sheet3!G$2:H$6,2,FALSE)</f>
        <v>#N/A</v>
      </c>
      <c r="E34" s="4" t="e">
        <f>VLOOKUP($A34,Sheet3!I$2:J$5,2,FALSE)</f>
        <v>#N/A</v>
      </c>
      <c r="F34" s="4" t="e">
        <f>VLOOKUP($A34,Sheet3!E$2:F$6,2,FALSE)</f>
        <v>#N/A</v>
      </c>
      <c r="G34" s="2"/>
      <c r="H34" s="4" t="e">
        <f>VLOOKUP($A34,Sheet3!M$2:N$17,2,FALSE)</f>
        <v>#N/A</v>
      </c>
      <c r="I34" s="2"/>
    </row>
    <row r="35" spans="1:9" ht="15.75" thickBot="1" x14ac:dyDescent="0.2">
      <c r="A35" t="s">
        <v>56</v>
      </c>
      <c r="B35" s="2"/>
      <c r="C35" s="4" t="e">
        <f>VLOOKUP($A35,Sheet3!C$2:D$10,2,FALSE)</f>
        <v>#N/A</v>
      </c>
      <c r="D35" s="4" t="e">
        <f>VLOOKUP($A35,Sheet3!G$2:H$6,2,FALSE)</f>
        <v>#N/A</v>
      </c>
      <c r="E35" s="4" t="e">
        <f>VLOOKUP($A35,Sheet3!I$2:J$5,2,FALSE)</f>
        <v>#N/A</v>
      </c>
      <c r="F35" s="4" t="e">
        <f>VLOOKUP($A35,Sheet3!E$2:F$6,2,FALSE)</f>
        <v>#N/A</v>
      </c>
      <c r="G35" s="2"/>
      <c r="H35" s="2"/>
      <c r="I35" s="2"/>
    </row>
    <row r="36" spans="1:9" ht="15.75" thickBot="1" x14ac:dyDescent="0.2">
      <c r="A36" t="s">
        <v>37</v>
      </c>
      <c r="B36" s="10"/>
      <c r="C36" s="4" t="e">
        <f>VLOOKUP($A36,Sheet3!C$2:D$10,2,FALSE)</f>
        <v>#N/A</v>
      </c>
      <c r="D36" s="4" t="e">
        <f>VLOOKUP($A36,Sheet3!G$2:H$6,2,FALSE)</f>
        <v>#N/A</v>
      </c>
      <c r="E36" s="4" t="e">
        <f>VLOOKUP($A36,Sheet3!I$2:J$5,2,FALSE)</f>
        <v>#N/A</v>
      </c>
      <c r="F36" s="4" t="e">
        <f>VLOOKUP($A36,Sheet3!E$2:F$6,2,FALSE)</f>
        <v>#N/A</v>
      </c>
      <c r="G36" s="2"/>
      <c r="H36" s="2"/>
      <c r="I36" s="2"/>
    </row>
    <row r="37" spans="1:9" ht="15.75" thickBot="1" x14ac:dyDescent="0.2">
      <c r="A37" t="s">
        <v>43</v>
      </c>
      <c r="C37" s="4" t="e">
        <f>VLOOKUP($A37,Sheet3!C$2:D$10,2,FALSE)</f>
        <v>#N/A</v>
      </c>
      <c r="D37" s="4" t="e">
        <f>VLOOKUP($A37,Sheet3!G$2:H$6,2,FALSE)</f>
        <v>#N/A</v>
      </c>
      <c r="E37" s="4" t="e">
        <f>VLOOKUP($A37,Sheet3!I$2:J$5,2,FALSE)</f>
        <v>#N/A</v>
      </c>
      <c r="F37" s="4" t="e">
        <f>VLOOKUP($A37,Sheet3!E$2:F$6,2,FALSE)</f>
        <v>#N/A</v>
      </c>
      <c r="G37" s="2"/>
      <c r="H37" s="2"/>
      <c r="I37" s="2"/>
    </row>
    <row r="38" spans="1:9" x14ac:dyDescent="0.15">
      <c r="A38" t="s">
        <v>57</v>
      </c>
    </row>
    <row r="39" spans="1:9" x14ac:dyDescent="0.15">
      <c r="A39" t="s">
        <v>58</v>
      </c>
    </row>
    <row r="40" spans="1:9" x14ac:dyDescent="0.15">
      <c r="A40" t="s">
        <v>59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L25" sqref="L25"/>
    </sheetView>
  </sheetViews>
  <sheetFormatPr defaultRowHeight="13.5" x14ac:dyDescent="0.15"/>
  <sheetData>
    <row r="1" spans="1:16" ht="14.25" thickBot="1" x14ac:dyDescent="0.2">
      <c r="A1" t="s">
        <v>1</v>
      </c>
      <c r="B1" s="3"/>
      <c r="C1" t="s">
        <v>45</v>
      </c>
      <c r="D1" s="3"/>
      <c r="E1" t="s">
        <v>46</v>
      </c>
      <c r="F1" s="3"/>
      <c r="G1" t="s">
        <v>47</v>
      </c>
      <c r="H1" s="3"/>
      <c r="I1" t="s">
        <v>48</v>
      </c>
      <c r="J1" s="3"/>
      <c r="K1" t="s">
        <v>49</v>
      </c>
      <c r="L1" s="3"/>
      <c r="M1" t="s">
        <v>50</v>
      </c>
      <c r="O1" t="s">
        <v>51</v>
      </c>
    </row>
    <row r="2" spans="1:16" ht="15.75" thickBot="1" x14ac:dyDescent="0.2">
      <c r="A2" t="s">
        <v>11</v>
      </c>
      <c r="B2" s="4">
        <v>0.17860000000000001</v>
      </c>
      <c r="C2" t="s">
        <v>11</v>
      </c>
      <c r="D2" s="4">
        <v>0.18940000000000001</v>
      </c>
      <c r="E2" t="s">
        <v>38</v>
      </c>
      <c r="F2" s="4">
        <v>0.16389999999999999</v>
      </c>
      <c r="G2" t="s">
        <v>60</v>
      </c>
      <c r="H2" s="4">
        <v>0.25</v>
      </c>
      <c r="I2" t="s">
        <v>11</v>
      </c>
      <c r="J2" s="4">
        <v>0.25</v>
      </c>
      <c r="K2" t="s">
        <v>16</v>
      </c>
      <c r="L2" s="3">
        <v>0.59350000000000003</v>
      </c>
      <c r="M2" t="s">
        <v>9</v>
      </c>
      <c r="N2" s="3">
        <v>0.3755</v>
      </c>
      <c r="O2" t="s">
        <v>10</v>
      </c>
      <c r="P2" s="3">
        <v>0.38940000000000002</v>
      </c>
    </row>
    <row r="3" spans="1:16" ht="15.75" thickBot="1" x14ac:dyDescent="0.2">
      <c r="A3" t="s">
        <v>60</v>
      </c>
      <c r="B3" s="4">
        <v>0.10929999999999999</v>
      </c>
      <c r="C3" t="s">
        <v>60</v>
      </c>
      <c r="D3" s="4">
        <v>0.12659999999999999</v>
      </c>
      <c r="E3" t="s">
        <v>15</v>
      </c>
      <c r="F3" s="4">
        <v>0.15959999999999999</v>
      </c>
      <c r="G3" t="s">
        <v>12</v>
      </c>
      <c r="H3" s="4">
        <v>0.2293</v>
      </c>
      <c r="I3" t="s">
        <v>13</v>
      </c>
      <c r="J3" s="4">
        <v>0.12230000000000001</v>
      </c>
      <c r="K3" t="s">
        <v>17</v>
      </c>
      <c r="L3" s="3">
        <v>0.40649999999999997</v>
      </c>
      <c r="M3" t="s">
        <v>12</v>
      </c>
      <c r="N3" s="3">
        <v>0.3009</v>
      </c>
      <c r="O3" t="s">
        <v>19</v>
      </c>
      <c r="P3" s="3">
        <v>0.23419999999999999</v>
      </c>
    </row>
    <row r="4" spans="1:16" ht="15.75" thickBot="1" x14ac:dyDescent="0.2">
      <c r="A4" t="s">
        <v>12</v>
      </c>
      <c r="B4" s="4">
        <v>8.8499999999999995E-2</v>
      </c>
      <c r="C4" t="s">
        <v>12</v>
      </c>
      <c r="D4" s="4">
        <v>0.1016</v>
      </c>
      <c r="E4" t="s">
        <v>20</v>
      </c>
      <c r="F4" s="4">
        <v>0.1125</v>
      </c>
      <c r="G4" t="s">
        <v>10</v>
      </c>
      <c r="H4" s="4">
        <v>0.20949999999999999</v>
      </c>
      <c r="I4" t="s">
        <v>18</v>
      </c>
      <c r="J4" s="4">
        <v>0.1133</v>
      </c>
      <c r="L4" s="3"/>
      <c r="M4" t="s">
        <v>13</v>
      </c>
      <c r="N4" s="3">
        <v>0.2162</v>
      </c>
      <c r="O4" t="s">
        <v>23</v>
      </c>
      <c r="P4" s="3">
        <v>0.17519999999999999</v>
      </c>
    </row>
    <row r="5" spans="1:16" ht="15.75" thickBot="1" x14ac:dyDescent="0.2">
      <c r="A5" t="s">
        <v>10</v>
      </c>
      <c r="B5" s="4">
        <v>8.09E-2</v>
      </c>
      <c r="C5" t="s">
        <v>10</v>
      </c>
      <c r="D5" s="4">
        <v>9.2799999999999994E-2</v>
      </c>
      <c r="E5" t="s">
        <v>34</v>
      </c>
      <c r="F5" s="4">
        <v>9.4799999999999995E-2</v>
      </c>
      <c r="G5" t="s">
        <v>19</v>
      </c>
      <c r="H5" s="4">
        <v>0.1258</v>
      </c>
      <c r="I5" t="s">
        <v>14</v>
      </c>
      <c r="J5" s="4">
        <v>0.1084</v>
      </c>
      <c r="L5" s="3"/>
      <c r="M5" t="s">
        <v>18</v>
      </c>
      <c r="N5" s="3">
        <v>0.1074</v>
      </c>
      <c r="O5" t="s">
        <v>30</v>
      </c>
      <c r="P5" s="3">
        <v>0.16930000000000001</v>
      </c>
    </row>
    <row r="6" spans="1:16" ht="15.75" thickBot="1" x14ac:dyDescent="0.2">
      <c r="A6" t="s">
        <v>13</v>
      </c>
      <c r="B6" s="4">
        <v>6.7299999999999999E-2</v>
      </c>
      <c r="C6" t="s">
        <v>13</v>
      </c>
      <c r="D6" s="4">
        <v>7.3700000000000002E-2</v>
      </c>
      <c r="E6" t="s">
        <v>22</v>
      </c>
      <c r="F6" s="4">
        <v>9.3399999999999997E-2</v>
      </c>
      <c r="G6" t="s">
        <v>23</v>
      </c>
      <c r="H6" s="4">
        <v>9.4100000000000003E-2</v>
      </c>
      <c r="I6" t="s">
        <v>24</v>
      </c>
      <c r="J6" s="4">
        <v>6.93E-2</v>
      </c>
      <c r="L6" s="3"/>
      <c r="N6" s="3"/>
      <c r="O6" t="s">
        <v>43</v>
      </c>
      <c r="P6" s="3">
        <v>3.1899999999999998E-2</v>
      </c>
    </row>
    <row r="7" spans="1:16" ht="15.75" thickBot="1" x14ac:dyDescent="0.2">
      <c r="A7" t="s">
        <v>19</v>
      </c>
      <c r="B7" s="4">
        <v>0.05</v>
      </c>
      <c r="C7" t="s">
        <v>19</v>
      </c>
      <c r="D7" s="4">
        <v>6.0999999999999999E-2</v>
      </c>
      <c r="E7" t="s">
        <v>25</v>
      </c>
      <c r="F7" s="4">
        <v>9.11E-2</v>
      </c>
      <c r="G7" t="s">
        <v>30</v>
      </c>
      <c r="H7" s="4">
        <v>9.1300000000000006E-2</v>
      </c>
      <c r="I7" t="s">
        <v>31</v>
      </c>
      <c r="J7" s="4">
        <v>5.5500000000000001E-2</v>
      </c>
      <c r="L7" s="3"/>
    </row>
    <row r="8" spans="1:16" ht="15.75" thickBot="1" x14ac:dyDescent="0.2">
      <c r="A8" t="s">
        <v>16</v>
      </c>
      <c r="B8" s="4">
        <v>4.5100000000000001E-2</v>
      </c>
      <c r="C8" t="s">
        <v>14</v>
      </c>
      <c r="D8" s="4">
        <v>5.4100000000000002E-2</v>
      </c>
      <c r="E8" t="s">
        <v>28</v>
      </c>
      <c r="F8" s="4">
        <v>8.14E-2</v>
      </c>
      <c r="I8" t="s">
        <v>27</v>
      </c>
      <c r="J8" s="4">
        <v>5.21E-2</v>
      </c>
      <c r="L8" s="3"/>
    </row>
    <row r="9" spans="1:16" ht="15.75" thickBot="1" x14ac:dyDescent="0.2">
      <c r="A9" t="s">
        <v>14</v>
      </c>
      <c r="B9" s="4">
        <v>4.4200000000000003E-2</v>
      </c>
      <c r="C9" t="s">
        <v>23</v>
      </c>
      <c r="D9" s="4">
        <v>4.4299999999999999E-2</v>
      </c>
      <c r="E9" t="s">
        <v>33</v>
      </c>
      <c r="F9" s="4">
        <v>8.1199999999999994E-2</v>
      </c>
      <c r="I9" t="s">
        <v>26</v>
      </c>
      <c r="J9" s="4">
        <v>4.7899999999999998E-2</v>
      </c>
      <c r="L9" s="3"/>
    </row>
    <row r="10" spans="1:16" ht="15.75" thickBot="1" x14ac:dyDescent="0.2">
      <c r="A10" t="s">
        <v>38</v>
      </c>
      <c r="B10" s="4">
        <v>4.2200000000000001E-2</v>
      </c>
      <c r="C10" t="s">
        <v>24</v>
      </c>
      <c r="D10" s="4">
        <v>3.7699999999999997E-2</v>
      </c>
      <c r="E10" t="s">
        <v>36</v>
      </c>
      <c r="F10" s="4">
        <v>5.3800000000000001E-2</v>
      </c>
      <c r="I10" t="s">
        <v>54</v>
      </c>
      <c r="J10" s="4">
        <v>4.6199999999999998E-2</v>
      </c>
      <c r="L10" s="3"/>
    </row>
    <row r="11" spans="1:16" ht="15.75" thickBot="1" x14ac:dyDescent="0.2">
      <c r="A11" t="s">
        <v>15</v>
      </c>
      <c r="B11" s="4">
        <v>4.0099999999999997E-2</v>
      </c>
      <c r="C11" t="s">
        <v>18</v>
      </c>
      <c r="D11" s="4">
        <v>3.7199999999999997E-2</v>
      </c>
      <c r="E11" t="s">
        <v>35</v>
      </c>
      <c r="F11" s="4">
        <v>4.8300000000000003E-2</v>
      </c>
      <c r="I11" t="s">
        <v>42</v>
      </c>
      <c r="J11" s="4">
        <v>4.2999999999999997E-2</v>
      </c>
      <c r="L11" s="3"/>
    </row>
    <row r="12" spans="1:16" ht="15.75" thickBot="1" x14ac:dyDescent="0.2">
      <c r="A12" t="s">
        <v>23</v>
      </c>
      <c r="B12" s="4">
        <v>3.7100000000000001E-2</v>
      </c>
      <c r="C12" t="s">
        <v>30</v>
      </c>
      <c r="D12" s="4">
        <v>3.5700000000000003E-2</v>
      </c>
      <c r="E12" t="s">
        <v>37</v>
      </c>
      <c r="F12" s="4">
        <v>0.02</v>
      </c>
      <c r="I12" t="s">
        <v>21</v>
      </c>
      <c r="J12" s="4">
        <v>4.0599999999999997E-2</v>
      </c>
      <c r="L12" s="3"/>
    </row>
    <row r="13" spans="1:16" ht="15.75" thickBot="1" x14ac:dyDescent="0.2">
      <c r="A13" t="s">
        <v>24</v>
      </c>
      <c r="B13" s="4">
        <v>3.2500000000000001E-2</v>
      </c>
      <c r="C13" t="s">
        <v>27</v>
      </c>
      <c r="D13" s="4">
        <v>2.8000000000000001E-2</v>
      </c>
      <c r="I13" t="s">
        <v>32</v>
      </c>
      <c r="J13" s="4">
        <v>2.8299999999999999E-2</v>
      </c>
      <c r="L13" s="3"/>
    </row>
    <row r="14" spans="1:16" ht="15.75" thickBot="1" x14ac:dyDescent="0.2">
      <c r="A14" t="s">
        <v>20</v>
      </c>
      <c r="B14" s="4">
        <v>2.7900000000000001E-2</v>
      </c>
      <c r="C14" t="s">
        <v>21</v>
      </c>
      <c r="D14" s="4">
        <v>2.8000000000000001E-2</v>
      </c>
      <c r="I14" t="s">
        <v>55</v>
      </c>
      <c r="J14" s="4">
        <v>2.3099999999999999E-2</v>
      </c>
      <c r="L14" s="3"/>
    </row>
    <row r="15" spans="1:16" ht="15.75" thickBot="1" x14ac:dyDescent="0.2">
      <c r="A15" t="s">
        <v>17</v>
      </c>
      <c r="B15" s="4">
        <v>2.5999999999999999E-2</v>
      </c>
      <c r="C15" t="s">
        <v>26</v>
      </c>
      <c r="D15" s="4">
        <v>2.58E-2</v>
      </c>
      <c r="L15" s="3"/>
    </row>
    <row r="16" spans="1:16" ht="15.75" thickBot="1" x14ac:dyDescent="0.2">
      <c r="A16" t="s">
        <v>27</v>
      </c>
      <c r="B16" s="4">
        <v>2.4E-2</v>
      </c>
      <c r="C16" t="s">
        <v>42</v>
      </c>
      <c r="D16" s="4">
        <v>2.2599999999999999E-2</v>
      </c>
      <c r="L16" s="3"/>
    </row>
    <row r="17" spans="1:16" ht="15.75" thickBot="1" x14ac:dyDescent="0.2">
      <c r="A17" t="s">
        <v>22</v>
      </c>
      <c r="B17" s="4">
        <v>2.3400000000000001E-2</v>
      </c>
      <c r="C17" t="s">
        <v>54</v>
      </c>
      <c r="D17" s="4">
        <v>2.1499999999999998E-2</v>
      </c>
      <c r="L17" s="3"/>
    </row>
    <row r="18" spans="1:16" ht="15.75" thickBot="1" x14ac:dyDescent="0.2">
      <c r="A18" t="s">
        <v>25</v>
      </c>
      <c r="B18" s="4">
        <v>2.23E-2</v>
      </c>
      <c r="C18" t="s">
        <v>31</v>
      </c>
      <c r="D18" s="4">
        <v>0.02</v>
      </c>
      <c r="L18" s="3"/>
    </row>
    <row r="19" spans="1:16" ht="15.75" thickBot="1" x14ac:dyDescent="0.2">
      <c r="A19" t="s">
        <v>28</v>
      </c>
      <c r="B19" s="4">
        <v>2.06E-2</v>
      </c>
      <c r="L19" s="3"/>
    </row>
    <row r="20" spans="1:16" ht="15.75" thickBot="1" x14ac:dyDescent="0.2">
      <c r="A20" t="s">
        <v>42</v>
      </c>
      <c r="B20" s="4">
        <v>0.02</v>
      </c>
      <c r="L20" s="3"/>
    </row>
    <row r="21" spans="1:16" ht="15.75" thickBot="1" x14ac:dyDescent="0.2">
      <c r="A21" t="s">
        <v>54</v>
      </c>
      <c r="B21" s="4">
        <v>0.02</v>
      </c>
      <c r="L21" s="3"/>
    </row>
    <row r="22" spans="1:16" x14ac:dyDescent="0.15">
      <c r="B22" s="3">
        <f>SUM(B2:B21)</f>
        <v>1</v>
      </c>
      <c r="C22" s="3"/>
      <c r="D22" s="3">
        <f t="shared" ref="D22:P22" si="0">SUM(D2:D21)</f>
        <v>1</v>
      </c>
      <c r="E22" s="3"/>
      <c r="F22" s="3">
        <f t="shared" si="0"/>
        <v>0.99999999999999989</v>
      </c>
      <c r="G22" s="3"/>
      <c r="H22" s="3">
        <f t="shared" si="0"/>
        <v>1</v>
      </c>
      <c r="I22" s="3"/>
      <c r="J22" s="3">
        <f t="shared" si="0"/>
        <v>1.0000000000000002</v>
      </c>
      <c r="K22" s="3"/>
      <c r="L22" s="3">
        <f t="shared" si="0"/>
        <v>1</v>
      </c>
      <c r="M22" s="3"/>
      <c r="N22" s="3">
        <f t="shared" si="0"/>
        <v>1</v>
      </c>
      <c r="O22" s="3"/>
      <c r="P22" s="3">
        <f t="shared" si="0"/>
        <v>1</v>
      </c>
    </row>
  </sheetData>
  <sortState ref="I2:J14">
    <sortCondition descending="1" ref="J2:J14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I21" sqref="I21"/>
    </sheetView>
  </sheetViews>
  <sheetFormatPr defaultRowHeight="13.5" x14ac:dyDescent="0.15"/>
  <sheetData>
    <row r="1" spans="1:9" ht="15.75" thickBot="1" x14ac:dyDescent="0.2">
      <c r="A1" s="13" t="s">
        <v>40</v>
      </c>
      <c r="B1" s="14"/>
      <c r="C1" s="14"/>
      <c r="D1" s="14"/>
      <c r="E1" s="14"/>
      <c r="F1" s="14"/>
      <c r="G1" s="14"/>
      <c r="H1" s="14"/>
      <c r="I1" s="15"/>
    </row>
    <row r="2" spans="1:9" ht="30.75" thickBo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 thickBot="1" x14ac:dyDescent="0.2">
      <c r="A3" s="2" t="s">
        <v>9</v>
      </c>
      <c r="B3" s="4">
        <v>0.1182</v>
      </c>
      <c r="C3" s="4">
        <v>0.13780000000000001</v>
      </c>
      <c r="D3" s="4">
        <v>0.25</v>
      </c>
      <c r="E3" s="4"/>
      <c r="F3" s="4"/>
      <c r="G3" s="4"/>
      <c r="H3" s="4">
        <v>0.35720000000000002</v>
      </c>
      <c r="I3" s="4"/>
    </row>
    <row r="4" spans="1:9" ht="15.75" thickBot="1" x14ac:dyDescent="0.2">
      <c r="A4" s="2" t="s">
        <v>10</v>
      </c>
      <c r="B4" s="4">
        <v>0.1002</v>
      </c>
      <c r="C4" s="4">
        <v>0.11650000000000001</v>
      </c>
      <c r="D4" s="4">
        <v>0.21579999999999999</v>
      </c>
      <c r="E4" s="4"/>
      <c r="F4" s="4"/>
      <c r="G4" s="4"/>
      <c r="H4" s="4"/>
      <c r="I4" s="4">
        <v>0.43919999999999998</v>
      </c>
    </row>
    <row r="5" spans="1:9" ht="15.75" thickBot="1" x14ac:dyDescent="0.2">
      <c r="A5" s="2" t="s">
        <v>12</v>
      </c>
      <c r="B5" s="4">
        <v>9.0399999999999994E-2</v>
      </c>
      <c r="C5" s="4">
        <v>0.1023</v>
      </c>
      <c r="D5" s="4">
        <v>0.18870000000000001</v>
      </c>
      <c r="E5" s="4"/>
      <c r="F5" s="4"/>
      <c r="G5" s="4"/>
      <c r="H5" s="4">
        <v>0.25609999999999999</v>
      </c>
      <c r="I5" s="4"/>
    </row>
    <row r="6" spans="1:9" ht="15.75" thickBot="1" x14ac:dyDescent="0.2">
      <c r="A6" s="2" t="s">
        <v>11</v>
      </c>
      <c r="B6" s="4">
        <v>8.9499999999999996E-2</v>
      </c>
      <c r="C6" s="4">
        <v>0.11070000000000001</v>
      </c>
      <c r="D6" s="4"/>
      <c r="E6" s="4">
        <v>0.2082</v>
      </c>
      <c r="F6" s="4"/>
      <c r="G6" s="4"/>
      <c r="H6" s="4"/>
      <c r="I6" s="4"/>
    </row>
    <row r="7" spans="1:9" ht="15.75" thickBot="1" x14ac:dyDescent="0.2">
      <c r="A7" s="2" t="s">
        <v>13</v>
      </c>
      <c r="B7" s="4">
        <v>7.4999999999999997E-2</v>
      </c>
      <c r="C7" s="4">
        <v>8.09E-2</v>
      </c>
      <c r="D7" s="4"/>
      <c r="E7" s="4">
        <v>0.1328</v>
      </c>
      <c r="F7" s="4"/>
      <c r="G7" s="4"/>
      <c r="H7" s="4">
        <v>0.19089999999999999</v>
      </c>
      <c r="I7" s="4"/>
    </row>
    <row r="8" spans="1:9" ht="15.75" thickBot="1" x14ac:dyDescent="0.2">
      <c r="A8" s="2" t="s">
        <v>38</v>
      </c>
      <c r="B8" s="4">
        <v>6.7000000000000004E-2</v>
      </c>
      <c r="C8" s="4"/>
      <c r="D8" s="4"/>
      <c r="E8" s="4"/>
      <c r="F8" s="4">
        <v>0.20730000000000001</v>
      </c>
      <c r="G8" s="4"/>
      <c r="H8" s="4"/>
      <c r="I8" s="4"/>
    </row>
    <row r="9" spans="1:9" ht="15.75" thickBot="1" x14ac:dyDescent="0.2">
      <c r="A9" s="2" t="s">
        <v>14</v>
      </c>
      <c r="B9" s="4">
        <v>5.2400000000000002E-2</v>
      </c>
      <c r="C9" s="4">
        <v>6.6799999999999998E-2</v>
      </c>
      <c r="D9" s="4"/>
      <c r="E9" s="4">
        <v>0.12889999999999999</v>
      </c>
      <c r="F9" s="4"/>
      <c r="G9" s="4"/>
      <c r="H9" s="4"/>
      <c r="I9" s="4"/>
    </row>
    <row r="10" spans="1:9" ht="15.75" thickBot="1" x14ac:dyDescent="0.2">
      <c r="A10" s="2" t="s">
        <v>15</v>
      </c>
      <c r="B10" s="4">
        <v>4.4299999999999999E-2</v>
      </c>
      <c r="C10" s="4"/>
      <c r="D10" s="4"/>
      <c r="E10" s="4"/>
      <c r="F10" s="4">
        <v>0.14249999999999999</v>
      </c>
      <c r="G10" s="4"/>
      <c r="H10" s="4"/>
      <c r="I10" s="4"/>
    </row>
    <row r="11" spans="1:9" ht="15.75" thickBot="1" x14ac:dyDescent="0.2">
      <c r="A11" s="2" t="s">
        <v>16</v>
      </c>
      <c r="B11" s="4">
        <v>4.3999999999999997E-2</v>
      </c>
      <c r="C11" s="4"/>
      <c r="D11" s="4"/>
      <c r="E11" s="4"/>
      <c r="F11" s="4"/>
      <c r="G11" s="4">
        <v>0.59350000000000003</v>
      </c>
      <c r="H11" s="4"/>
      <c r="I11" s="4"/>
    </row>
    <row r="12" spans="1:9" ht="15.75" thickBot="1" x14ac:dyDescent="0.2">
      <c r="A12" s="2" t="s">
        <v>19</v>
      </c>
      <c r="B12" s="4">
        <v>4.3099999999999999E-2</v>
      </c>
      <c r="C12" s="4">
        <v>5.3999999999999999E-2</v>
      </c>
      <c r="D12" s="4">
        <v>0.10100000000000001</v>
      </c>
      <c r="E12" s="4"/>
      <c r="F12" s="4"/>
      <c r="G12" s="4"/>
      <c r="H12" s="4"/>
      <c r="I12" s="4">
        <v>0.1981</v>
      </c>
    </row>
    <row r="13" spans="1:9" ht="15.75" thickBot="1" x14ac:dyDescent="0.2">
      <c r="A13" s="2" t="s">
        <v>23</v>
      </c>
      <c r="B13" s="4">
        <v>3.7199999999999997E-2</v>
      </c>
      <c r="C13" s="4">
        <v>4.53E-2</v>
      </c>
      <c r="D13" s="4">
        <v>8.4500000000000006E-2</v>
      </c>
      <c r="E13" s="4"/>
      <c r="F13" s="4"/>
      <c r="G13" s="4"/>
      <c r="H13" s="4"/>
      <c r="I13" s="4">
        <v>0.16789999999999999</v>
      </c>
    </row>
    <row r="14" spans="1:9" ht="15.75" thickBot="1" x14ac:dyDescent="0.2">
      <c r="A14" s="2" t="s">
        <v>24</v>
      </c>
      <c r="B14" s="4">
        <v>3.2199999999999999E-2</v>
      </c>
      <c r="C14" s="4">
        <v>3.7100000000000001E-2</v>
      </c>
      <c r="D14" s="4"/>
      <c r="E14" s="4">
        <v>6.5299999999999997E-2</v>
      </c>
      <c r="F14" s="4"/>
      <c r="G14" s="4"/>
      <c r="H14" s="4"/>
      <c r="I14" s="4"/>
    </row>
    <row r="15" spans="1:9" ht="15.75" thickBot="1" x14ac:dyDescent="0.2">
      <c r="A15" s="2" t="s">
        <v>21</v>
      </c>
      <c r="B15" s="4">
        <v>3.1E-2</v>
      </c>
      <c r="C15" s="4">
        <v>3.4299999999999997E-2</v>
      </c>
      <c r="D15" s="4"/>
      <c r="E15" s="4">
        <v>5.8000000000000003E-2</v>
      </c>
      <c r="F15" s="4"/>
      <c r="G15" s="4"/>
      <c r="H15" s="4"/>
      <c r="I15" s="4"/>
    </row>
    <row r="16" spans="1:9" ht="15.75" thickBot="1" x14ac:dyDescent="0.2">
      <c r="A16" s="2" t="s">
        <v>17</v>
      </c>
      <c r="B16" s="4">
        <v>3.0599999999999999E-2</v>
      </c>
      <c r="C16" s="4"/>
      <c r="D16" s="4"/>
      <c r="E16" s="4"/>
      <c r="F16" s="4"/>
      <c r="G16" s="4">
        <v>0.40649999999999997</v>
      </c>
      <c r="H16" s="4"/>
      <c r="I16" s="4"/>
    </row>
    <row r="17" spans="1:9" ht="15.75" thickBot="1" x14ac:dyDescent="0.2">
      <c r="A17" s="2" t="s">
        <v>20</v>
      </c>
      <c r="B17" s="4">
        <v>2.92E-2</v>
      </c>
      <c r="C17" s="4"/>
      <c r="D17" s="4"/>
      <c r="E17" s="4"/>
      <c r="F17" s="4">
        <v>9.7199999999999995E-2</v>
      </c>
      <c r="G17" s="4"/>
      <c r="H17" s="4"/>
      <c r="I17" s="4"/>
    </row>
    <row r="18" spans="1:9" ht="15.75" thickBot="1" x14ac:dyDescent="0.2">
      <c r="A18" s="2" t="s">
        <v>26</v>
      </c>
      <c r="B18" s="4">
        <v>2.6200000000000001E-2</v>
      </c>
      <c r="C18" s="4">
        <v>2.93E-2</v>
      </c>
      <c r="D18" s="4"/>
      <c r="E18" s="4">
        <v>5.0200000000000002E-2</v>
      </c>
      <c r="F18" s="4"/>
      <c r="G18" s="4"/>
      <c r="H18" s="4"/>
      <c r="I18" s="4"/>
    </row>
    <row r="19" spans="1:9" ht="15.75" thickBot="1" x14ac:dyDescent="0.2">
      <c r="A19" s="2" t="s">
        <v>22</v>
      </c>
      <c r="B19" s="4">
        <v>2.5000000000000001E-2</v>
      </c>
      <c r="C19" s="4"/>
      <c r="D19" s="4"/>
      <c r="E19" s="4"/>
      <c r="F19" s="4">
        <v>8.1199999999999994E-2</v>
      </c>
      <c r="G19" s="4"/>
      <c r="H19" s="4"/>
      <c r="I19" s="4"/>
    </row>
    <row r="20" spans="1:9" ht="15.75" thickBot="1" x14ac:dyDescent="0.2">
      <c r="A20" s="2" t="s">
        <v>27</v>
      </c>
      <c r="B20" s="4">
        <v>2.3E-2</v>
      </c>
      <c r="C20" s="4">
        <v>2.6800000000000001E-2</v>
      </c>
      <c r="D20" s="4"/>
      <c r="E20" s="4">
        <v>4.7600000000000003E-2</v>
      </c>
      <c r="F20" s="4"/>
      <c r="G20" s="4"/>
      <c r="H20" s="4"/>
      <c r="I20" s="4"/>
    </row>
    <row r="21" spans="1:9" ht="15.75" thickBot="1" x14ac:dyDescent="0.2">
      <c r="A21" s="2" t="s">
        <v>25</v>
      </c>
      <c r="B21" s="4">
        <v>2.1499999999999998E-2</v>
      </c>
      <c r="C21" s="4"/>
      <c r="D21" s="4"/>
      <c r="E21" s="4"/>
      <c r="F21" s="4">
        <v>7.3099999999999998E-2</v>
      </c>
      <c r="G21" s="4"/>
      <c r="H21" s="4"/>
      <c r="I21" s="4"/>
    </row>
    <row r="22" spans="1:9" ht="15.75" thickBot="1" x14ac:dyDescent="0.2">
      <c r="A22" s="2" t="s">
        <v>39</v>
      </c>
      <c r="B22" s="4">
        <v>0.02</v>
      </c>
      <c r="C22" s="4"/>
      <c r="D22" s="4"/>
      <c r="E22" s="4"/>
      <c r="F22" s="4">
        <v>6.7699999999999996E-2</v>
      </c>
      <c r="G22" s="4"/>
      <c r="H22" s="4"/>
      <c r="I22" s="4"/>
    </row>
    <row r="23" spans="1:9" ht="15.75" thickBot="1" x14ac:dyDescent="0.2">
      <c r="A23" s="2" t="s">
        <v>18</v>
      </c>
      <c r="B23" s="2"/>
      <c r="C23" s="4">
        <v>4.6800000000000001E-2</v>
      </c>
      <c r="D23" s="4"/>
      <c r="E23" s="4">
        <v>6.9900000000000004E-2</v>
      </c>
      <c r="F23" s="4"/>
      <c r="G23" s="4"/>
      <c r="H23" s="4">
        <v>9.9099999999999994E-2</v>
      </c>
      <c r="I23" s="4"/>
    </row>
    <row r="24" spans="1:9" ht="15.75" thickBot="1" x14ac:dyDescent="0.2">
      <c r="A24" s="2" t="s">
        <v>41</v>
      </c>
      <c r="B24" s="2"/>
      <c r="C24" s="4">
        <v>4.6800000000000001E-2</v>
      </c>
      <c r="D24" s="4">
        <v>8.4500000000000006E-2</v>
      </c>
      <c r="E24" s="4"/>
      <c r="F24" s="4"/>
      <c r="G24" s="4"/>
      <c r="H24" s="4">
        <v>9.6699999999999994E-2</v>
      </c>
      <c r="I24" s="4"/>
    </row>
    <row r="25" spans="1:9" ht="15.75" thickBot="1" x14ac:dyDescent="0.2">
      <c r="A25" s="2" t="s">
        <v>30</v>
      </c>
      <c r="B25" s="2"/>
      <c r="C25" s="4">
        <v>4.1599999999999998E-2</v>
      </c>
      <c r="D25" s="4">
        <v>7.5499999999999998E-2</v>
      </c>
      <c r="E25" s="4"/>
      <c r="F25" s="4"/>
      <c r="G25" s="4"/>
      <c r="H25" s="4"/>
      <c r="I25" s="4">
        <v>0.16470000000000001</v>
      </c>
    </row>
    <row r="26" spans="1:9" ht="15.75" thickBot="1" x14ac:dyDescent="0.2">
      <c r="A26" s="2" t="s">
        <v>42</v>
      </c>
      <c r="B26" s="2"/>
      <c r="C26" s="4">
        <v>2.3E-2</v>
      </c>
      <c r="D26" s="4"/>
      <c r="E26" s="4">
        <v>4.1599999999999998E-2</v>
      </c>
      <c r="F26" s="4"/>
      <c r="G26" s="4"/>
      <c r="H26" s="4"/>
      <c r="I26" s="4"/>
    </row>
    <row r="27" spans="1:9" ht="15.75" thickBot="1" x14ac:dyDescent="0.2">
      <c r="A27" s="7" t="s">
        <v>52</v>
      </c>
      <c r="B27" s="5"/>
      <c r="C27" s="4"/>
      <c r="D27" s="4"/>
      <c r="E27" s="4">
        <v>0.1482</v>
      </c>
      <c r="F27" s="4"/>
      <c r="G27" s="4"/>
      <c r="H27" s="4"/>
      <c r="I27" s="4"/>
    </row>
    <row r="28" spans="1:9" ht="15.75" thickBot="1" x14ac:dyDescent="0.2">
      <c r="A28" s="1" t="s">
        <v>31</v>
      </c>
      <c r="B28" s="5"/>
      <c r="C28" s="4"/>
      <c r="D28" s="4"/>
      <c r="E28" s="4">
        <v>2.93E-2</v>
      </c>
      <c r="F28" s="4"/>
      <c r="G28" s="4"/>
      <c r="H28" s="4"/>
      <c r="I28" s="4"/>
    </row>
    <row r="29" spans="1:9" ht="15.75" thickBot="1" x14ac:dyDescent="0.2">
      <c r="A29" s="2" t="s">
        <v>29</v>
      </c>
      <c r="B29" s="2"/>
      <c r="C29" s="4"/>
      <c r="D29" s="4"/>
      <c r="E29" s="4">
        <v>0.02</v>
      </c>
      <c r="F29" s="4"/>
      <c r="G29" s="4"/>
      <c r="H29" s="4"/>
      <c r="I29" s="4"/>
    </row>
    <row r="30" spans="1:9" ht="15.75" thickBot="1" x14ac:dyDescent="0.2">
      <c r="A30" s="6" t="s">
        <v>43</v>
      </c>
      <c r="B30" s="2"/>
      <c r="C30" s="4"/>
      <c r="D30" s="4"/>
      <c r="E30" s="4"/>
      <c r="F30" s="4"/>
      <c r="G30" s="4"/>
      <c r="H30" s="4"/>
      <c r="I30" s="4">
        <v>3.0099999999999998E-2</v>
      </c>
    </row>
    <row r="31" spans="1:9" ht="15.75" thickBot="1" x14ac:dyDescent="0.2">
      <c r="A31" s="16" t="s">
        <v>44</v>
      </c>
      <c r="B31" s="17"/>
      <c r="C31" s="4"/>
      <c r="D31" s="4"/>
      <c r="E31" s="4"/>
      <c r="F31" s="4">
        <v>8.43E-2</v>
      </c>
      <c r="G31" s="4"/>
      <c r="H31" s="4"/>
      <c r="I31" s="4"/>
    </row>
    <row r="32" spans="1:9" ht="15.75" thickBot="1" x14ac:dyDescent="0.2">
      <c r="A32" s="6" t="s">
        <v>34</v>
      </c>
      <c r="B32" s="2"/>
      <c r="C32" s="4"/>
      <c r="D32" s="4"/>
      <c r="E32" s="4"/>
      <c r="F32" s="4">
        <v>8.4000000000000005E-2</v>
      </c>
      <c r="G32" s="4"/>
      <c r="H32" s="4"/>
      <c r="I32" s="4"/>
    </row>
    <row r="33" spans="1:9" ht="15.75" thickBot="1" x14ac:dyDescent="0.2">
      <c r="A33" s="6" t="s">
        <v>28</v>
      </c>
      <c r="B33" s="2"/>
      <c r="C33" s="4"/>
      <c r="D33" s="4"/>
      <c r="E33" s="4"/>
      <c r="F33" s="4">
        <v>6.8599999999999994E-2</v>
      </c>
      <c r="G33" s="4"/>
      <c r="H33" s="4"/>
      <c r="I33" s="4"/>
    </row>
    <row r="34" spans="1:9" ht="15.75" thickBot="1" x14ac:dyDescent="0.2">
      <c r="A34" s="6" t="s">
        <v>35</v>
      </c>
      <c r="B34" s="8"/>
      <c r="C34" s="4"/>
      <c r="D34" s="4"/>
      <c r="E34" s="4"/>
      <c r="F34" s="4">
        <v>3.8399999999999997E-2</v>
      </c>
      <c r="G34" s="4"/>
      <c r="H34" s="4"/>
      <c r="I34" s="4"/>
    </row>
    <row r="35" spans="1:9" ht="15.75" thickBot="1" x14ac:dyDescent="0.2">
      <c r="A35" s="6" t="s">
        <v>36</v>
      </c>
      <c r="B35" s="2"/>
      <c r="C35" s="4"/>
      <c r="D35" s="4"/>
      <c r="E35" s="4"/>
      <c r="F35" s="4">
        <v>3.4000000000000002E-2</v>
      </c>
      <c r="G35" s="4"/>
      <c r="H35" s="4"/>
      <c r="I35" s="4"/>
    </row>
    <row r="36" spans="1:9" ht="15.75" thickBot="1" x14ac:dyDescent="0.2">
      <c r="A36" s="6" t="s">
        <v>37</v>
      </c>
      <c r="B36" s="8"/>
      <c r="C36" s="4"/>
      <c r="D36" s="4"/>
      <c r="E36" s="4"/>
      <c r="F36" s="4">
        <v>2.1700000000000001E-2</v>
      </c>
      <c r="G36" s="4"/>
      <c r="H36" s="4"/>
      <c r="I36" s="4"/>
    </row>
  </sheetData>
  <mergeCells count="2">
    <mergeCell ref="A1:I1"/>
    <mergeCell ref="A31:B3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2020年权重图表</vt:lpstr>
      <vt:lpstr>Sheet1</vt:lpstr>
      <vt:lpstr>Sheet2</vt:lpstr>
      <vt:lpstr>Sheet3</vt:lpstr>
      <vt:lpstr>Sheet4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Windows 用户</cp:lastModifiedBy>
  <dcterms:created xsi:type="dcterms:W3CDTF">2019-05-23T09:36:19Z</dcterms:created>
  <dcterms:modified xsi:type="dcterms:W3CDTF">2021-11-22T06:31:58Z</dcterms:modified>
</cp:coreProperties>
</file>